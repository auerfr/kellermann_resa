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ois-regis.auer\Documents\"/>
    </mc:Choice>
  </mc:AlternateContent>
  <xr:revisionPtr revIDLastSave="0" documentId="8_{0D46FFC4-62DA-44F0-B7E4-142FBECC033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ynthèse 2026" sheetId="20" r:id="rId1"/>
    <sheet name="Synthèse 2025" sheetId="18" r:id="rId2"/>
    <sheet name="2025 par loges" sheetId="19" r:id="rId3"/>
    <sheet name="Synthèse 2024" sheetId="15" r:id="rId4"/>
    <sheet name="2024 par loges" sheetId="16" r:id="rId5"/>
    <sheet name="Synthèse 2023" sheetId="11" r:id="rId6"/>
    <sheet name="2023" sheetId="12" r:id="rId7"/>
    <sheet name="Complet" sheetId="1" r:id="rId8"/>
  </sheets>
  <definedNames>
    <definedName name="_xlnm.Print_Titles" localSheetId="6">'2023'!$1:$2</definedName>
    <definedName name="_xlnm.Print_Titles" localSheetId="4">'2024 par loges'!$1:$2</definedName>
    <definedName name="_xlnm.Print_Titles" localSheetId="2">'2025 par loges'!$1:$2</definedName>
    <definedName name="_xlnm.Print_Titles" localSheetId="7">Complet!$1:$2</definedName>
    <definedName name="_xlnm.Print_Titles" localSheetId="5">'Synthèse 2023'!$1:$2</definedName>
    <definedName name="_xlnm.Print_Titles" localSheetId="3">'Synthèse 2024'!$1:$2</definedName>
    <definedName name="_xlnm.Print_Titles" localSheetId="1">'Synthèse 2025'!$1:$2</definedName>
    <definedName name="_xlnm.Print_Titles" localSheetId="0">'Synthèse 2026'!$1:$2</definedName>
    <definedName name="_xlnm.Print_Area" localSheetId="6">'2023'!$B:$I</definedName>
    <definedName name="_xlnm.Print_Area" localSheetId="4">'2024 par loges'!$B:$J</definedName>
    <definedName name="_xlnm.Print_Area" localSheetId="2">'2025 par loges'!$B$2:$K$57</definedName>
    <definedName name="_xlnm.Print_Area" localSheetId="7">Complet!$B:$L</definedName>
    <definedName name="_xlnm.Print_Area" localSheetId="5">'Synthèse 2023'!$B:$I</definedName>
    <definedName name="_xlnm.Print_Area" localSheetId="3">'Synthèse 2024'!$B:$J</definedName>
    <definedName name="_xlnm.Print_Area" localSheetId="1">'Synthèse 2025'!$B$2:$K$53</definedName>
    <definedName name="_xlnm.Print_Area" localSheetId="0">'Synthèse 2026'!$B$2:$L$53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3" i="20" l="1"/>
  <c r="J53" i="20"/>
  <c r="G53" i="20"/>
  <c r="F53" i="20"/>
  <c r="E53" i="20"/>
  <c r="D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H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H13" i="20"/>
  <c r="L12" i="20"/>
  <c r="L11" i="20"/>
  <c r="L10" i="20"/>
  <c r="L9" i="20"/>
  <c r="L8" i="20"/>
  <c r="L7" i="20"/>
  <c r="H7" i="20"/>
  <c r="L6" i="20"/>
  <c r="L5" i="20"/>
  <c r="L4" i="20"/>
  <c r="L3" i="20"/>
  <c r="I49" i="19"/>
  <c r="H49" i="19"/>
  <c r="I28" i="19"/>
  <c r="G57" i="19"/>
  <c r="F57" i="19"/>
  <c r="E57" i="19"/>
  <c r="D57" i="19"/>
  <c r="K51" i="19"/>
  <c r="K54" i="19"/>
  <c r="K55" i="19"/>
  <c r="K27" i="19"/>
  <c r="K48" i="19"/>
  <c r="K47" i="19"/>
  <c r="K53" i="19"/>
  <c r="K52" i="19"/>
  <c r="K46" i="19"/>
  <c r="K45" i="19"/>
  <c r="K44" i="19"/>
  <c r="K43" i="19"/>
  <c r="K26" i="19"/>
  <c r="K25" i="19"/>
  <c r="K24" i="19"/>
  <c r="K42" i="19"/>
  <c r="K23" i="19"/>
  <c r="K22" i="19"/>
  <c r="K21" i="19"/>
  <c r="K41" i="19"/>
  <c r="K56" i="19"/>
  <c r="K40" i="19"/>
  <c r="K39" i="19"/>
  <c r="H39" i="19"/>
  <c r="K20" i="19"/>
  <c r="K19" i="19"/>
  <c r="K18" i="19"/>
  <c r="K17" i="19"/>
  <c r="K38" i="19"/>
  <c r="K37" i="19"/>
  <c r="K36" i="19"/>
  <c r="K16" i="19"/>
  <c r="K15" i="19"/>
  <c r="K14" i="19"/>
  <c r="K35" i="19"/>
  <c r="K34" i="19"/>
  <c r="K33" i="19"/>
  <c r="K32" i="19"/>
  <c r="K49" i="19" s="1"/>
  <c r="K57" i="19" s="1"/>
  <c r="K31" i="19"/>
  <c r="K30" i="19"/>
  <c r="K13" i="19"/>
  <c r="H13" i="19"/>
  <c r="K12" i="19"/>
  <c r="K11" i="19"/>
  <c r="K10" i="19"/>
  <c r="K9" i="19"/>
  <c r="K8" i="19"/>
  <c r="K7" i="19"/>
  <c r="H7" i="19"/>
  <c r="H28" i="19" s="1"/>
  <c r="K6" i="19"/>
  <c r="K28" i="19" s="1"/>
  <c r="K5" i="19"/>
  <c r="K4" i="19"/>
  <c r="K3" i="19"/>
  <c r="H30" i="18"/>
  <c r="H13" i="18"/>
  <c r="H7" i="18"/>
  <c r="H53" i="18" s="1"/>
  <c r="G53" i="18"/>
  <c r="F53" i="18"/>
  <c r="E53" i="18"/>
  <c r="D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I53" i="18"/>
  <c r="K6" i="18"/>
  <c r="K5" i="18"/>
  <c r="K4" i="18"/>
  <c r="K3" i="18"/>
  <c r="I49" i="16"/>
  <c r="G28" i="16"/>
  <c r="F28" i="16"/>
  <c r="E28" i="16"/>
  <c r="J48" i="16"/>
  <c r="E48" i="16"/>
  <c r="F48" i="16"/>
  <c r="G48" i="16"/>
  <c r="H48" i="16"/>
  <c r="G55" i="16"/>
  <c r="F55" i="16"/>
  <c r="E55" i="16"/>
  <c r="D55" i="16"/>
  <c r="J49" i="16"/>
  <c r="J52" i="16"/>
  <c r="J53" i="16"/>
  <c r="J27" i="16"/>
  <c r="J47" i="16"/>
  <c r="J46" i="16"/>
  <c r="J51" i="16"/>
  <c r="J50" i="16"/>
  <c r="J45" i="16"/>
  <c r="J44" i="16"/>
  <c r="J43" i="16"/>
  <c r="J42" i="16"/>
  <c r="J26" i="16"/>
  <c r="J25" i="16"/>
  <c r="J24" i="16"/>
  <c r="J41" i="16"/>
  <c r="J23" i="16"/>
  <c r="J28" i="16" s="1"/>
  <c r="J22" i="16"/>
  <c r="J21" i="16"/>
  <c r="J40" i="16"/>
  <c r="J54" i="16"/>
  <c r="J39" i="16"/>
  <c r="H38" i="16"/>
  <c r="J38" i="16" s="1"/>
  <c r="J20" i="16"/>
  <c r="J19" i="16"/>
  <c r="J18" i="16"/>
  <c r="J17" i="16"/>
  <c r="J37" i="16"/>
  <c r="J36" i="16"/>
  <c r="J35" i="16"/>
  <c r="J16" i="16"/>
  <c r="J15" i="16"/>
  <c r="J14" i="16"/>
  <c r="J34" i="16"/>
  <c r="J33" i="16"/>
  <c r="J32" i="16"/>
  <c r="J31" i="16"/>
  <c r="J30" i="16"/>
  <c r="J29" i="16"/>
  <c r="H13" i="16"/>
  <c r="J13" i="16" s="1"/>
  <c r="J12" i="16"/>
  <c r="J11" i="16"/>
  <c r="J10" i="16"/>
  <c r="J9" i="16"/>
  <c r="J8" i="16"/>
  <c r="H7" i="16"/>
  <c r="J7" i="16" s="1"/>
  <c r="J6" i="16"/>
  <c r="J5" i="16"/>
  <c r="J4" i="16"/>
  <c r="J3" i="16"/>
  <c r="H7" i="15"/>
  <c r="L53" i="20" l="1"/>
  <c r="H53" i="20"/>
  <c r="I57" i="19"/>
  <c r="H57" i="19"/>
  <c r="K7" i="18"/>
  <c r="K53" i="18" s="1"/>
  <c r="M57" i="19" s="1"/>
  <c r="N57" i="19" s="1"/>
  <c r="H28" i="16"/>
  <c r="H55" i="16" s="1"/>
  <c r="J55" i="16"/>
  <c r="J59" i="16" s="1"/>
  <c r="H13" i="15"/>
  <c r="H30" i="15"/>
  <c r="G53" i="15"/>
  <c r="H53" i="15"/>
  <c r="F53" i="15"/>
  <c r="E53" i="15"/>
  <c r="D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H52" i="11"/>
  <c r="I51" i="11"/>
  <c r="G53" i="11"/>
  <c r="F53" i="11"/>
  <c r="E53" i="11"/>
  <c r="D53" i="11"/>
  <c r="G52" i="12"/>
  <c r="F52" i="12"/>
  <c r="E52" i="12"/>
  <c r="D52" i="12"/>
  <c r="I49" i="12"/>
  <c r="I40" i="12"/>
  <c r="I39" i="12"/>
  <c r="I38" i="12"/>
  <c r="I36" i="12"/>
  <c r="I35" i="12"/>
  <c r="I34" i="12"/>
  <c r="I29" i="12"/>
  <c r="I28" i="12"/>
  <c r="I27" i="12"/>
  <c r="I26" i="12"/>
  <c r="I22" i="12"/>
  <c r="I21" i="12"/>
  <c r="I20" i="12"/>
  <c r="I13" i="12"/>
  <c r="I12" i="12"/>
  <c r="I11" i="12"/>
  <c r="I10" i="12"/>
  <c r="I9" i="12"/>
  <c r="I8" i="12"/>
  <c r="I7" i="12"/>
  <c r="I6" i="12"/>
  <c r="I5" i="12"/>
  <c r="I4" i="12"/>
  <c r="I3" i="12"/>
  <c r="I48" i="12"/>
  <c r="I47" i="12"/>
  <c r="I44" i="12"/>
  <c r="I43" i="12"/>
  <c r="I42" i="12"/>
  <c r="I41" i="12"/>
  <c r="I37" i="12"/>
  <c r="I33" i="12"/>
  <c r="I32" i="12"/>
  <c r="I31" i="12"/>
  <c r="I30" i="12"/>
  <c r="I25" i="12"/>
  <c r="I24" i="12"/>
  <c r="I23" i="12"/>
  <c r="I19" i="12"/>
  <c r="I18" i="12"/>
  <c r="I17" i="12"/>
  <c r="I16" i="12"/>
  <c r="I15" i="12"/>
  <c r="I14" i="12"/>
  <c r="I51" i="12"/>
  <c r="I46" i="12"/>
  <c r="I45" i="12"/>
  <c r="I50" i="12"/>
  <c r="I32" i="11"/>
  <c r="I52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L111" i="1"/>
  <c r="L108" i="1"/>
  <c r="L105" i="1"/>
  <c r="J158" i="1"/>
  <c r="L123" i="1"/>
  <c r="L147" i="1"/>
  <c r="E160" i="1"/>
  <c r="K160" i="1"/>
  <c r="L27" i="1"/>
  <c r="J160" i="1"/>
  <c r="J159" i="1"/>
  <c r="J53" i="15" l="1"/>
  <c r="J57" i="15" s="1"/>
  <c r="I53" i="11"/>
  <c r="I52" i="12"/>
  <c r="J161" i="1"/>
  <c r="L39" i="1"/>
  <c r="O39" i="1" s="1"/>
  <c r="H158" i="1"/>
  <c r="K158" i="1"/>
  <c r="I156" i="1"/>
  <c r="L114" i="1"/>
  <c r="L141" i="1"/>
  <c r="O141" i="1" s="1"/>
  <c r="L129" i="1"/>
  <c r="R129" i="1" s="1"/>
  <c r="L99" i="1"/>
  <c r="R99" i="1" s="1"/>
  <c r="L93" i="1"/>
  <c r="R93" i="1" s="1"/>
  <c r="L87" i="1"/>
  <c r="O87" i="1" s="1"/>
  <c r="L135" i="1"/>
  <c r="R135" i="1" s="1"/>
  <c r="L138" i="1"/>
  <c r="R138" i="1" s="1"/>
  <c r="R27" i="1"/>
  <c r="L9" i="1"/>
  <c r="O9" i="1" s="1"/>
  <c r="L60" i="1"/>
  <c r="O60" i="1" s="1"/>
  <c r="J156" i="1"/>
  <c r="H88" i="1"/>
  <c r="O123" i="1"/>
  <c r="L120" i="1"/>
  <c r="O120" i="1" s="1"/>
  <c r="L54" i="1"/>
  <c r="O54" i="1" s="1"/>
  <c r="L51" i="1"/>
  <c r="R51" i="1" s="1"/>
  <c r="L48" i="1"/>
  <c r="R48" i="1" s="1"/>
  <c r="L36" i="1"/>
  <c r="O36" i="1" s="1"/>
  <c r="L57" i="1"/>
  <c r="O57" i="1" s="1"/>
  <c r="L24" i="1"/>
  <c r="R24" i="1" s="1"/>
  <c r="L117" i="1"/>
  <c r="O117" i="1" s="1"/>
  <c r="L81" i="1"/>
  <c r="R81" i="1" s="1"/>
  <c r="L153" i="1"/>
  <c r="R153" i="1" s="1"/>
  <c r="L96" i="1"/>
  <c r="O96" i="1" s="1"/>
  <c r="L18" i="1"/>
  <c r="O18" i="1" s="1"/>
  <c r="L90" i="1"/>
  <c r="O90" i="1" s="1"/>
  <c r="L66" i="1"/>
  <c r="O66" i="1" s="1"/>
  <c r="L69" i="1"/>
  <c r="O69" i="1" s="1"/>
  <c r="R147" i="1"/>
  <c r="L75" i="1"/>
  <c r="R75" i="1" s="1"/>
  <c r="L78" i="1"/>
  <c r="R78" i="1" s="1"/>
  <c r="L63" i="1"/>
  <c r="R63" i="1" s="1"/>
  <c r="L33" i="1"/>
  <c r="R33" i="1" s="1"/>
  <c r="L42" i="1"/>
  <c r="R42" i="1" s="1"/>
  <c r="L84" i="1"/>
  <c r="O84" i="1" s="1"/>
  <c r="L132" i="1"/>
  <c r="O132" i="1" s="1"/>
  <c r="L150" i="1"/>
  <c r="O150" i="1" s="1"/>
  <c r="L102" i="1"/>
  <c r="O102" i="1" s="1"/>
  <c r="L3" i="1"/>
  <c r="O3" i="1" s="1"/>
  <c r="R105" i="1"/>
  <c r="R111" i="1"/>
  <c r="L126" i="1"/>
  <c r="R126" i="1" s="1"/>
  <c r="L30" i="1"/>
  <c r="O30" i="1" s="1"/>
  <c r="L15" i="1"/>
  <c r="R15" i="1" s="1"/>
  <c r="L12" i="1"/>
  <c r="R12" i="1" s="1"/>
  <c r="L45" i="1"/>
  <c r="O45" i="1" s="1"/>
  <c r="L6" i="1"/>
  <c r="O6" i="1" s="1"/>
  <c r="L21" i="1"/>
  <c r="R21" i="1" s="1"/>
  <c r="R36" i="1"/>
  <c r="R108" i="1"/>
  <c r="R114" i="1"/>
  <c r="R117" i="1"/>
  <c r="R132" i="1"/>
  <c r="R144" i="1"/>
  <c r="R150" i="1"/>
  <c r="O12" i="1"/>
  <c r="O81" i="1"/>
  <c r="O93" i="1"/>
  <c r="O108" i="1"/>
  <c r="O144" i="1"/>
  <c r="H156" i="1"/>
  <c r="M156" i="1"/>
  <c r="P156" i="1"/>
  <c r="O75" i="1" l="1"/>
  <c r="R57" i="1"/>
  <c r="R45" i="1"/>
  <c r="O15" i="1"/>
  <c r="R102" i="1"/>
  <c r="O42" i="1"/>
  <c r="R87" i="1"/>
  <c r="R18" i="1"/>
  <c r="O138" i="1"/>
  <c r="O153" i="1"/>
  <c r="I158" i="1"/>
  <c r="I159" i="1" s="1"/>
  <c r="O147" i="1"/>
  <c r="O135" i="1"/>
  <c r="R123" i="1"/>
  <c r="R120" i="1"/>
  <c r="O78" i="1"/>
  <c r="O48" i="1"/>
  <c r="O27" i="1"/>
  <c r="E158" i="1"/>
  <c r="R69" i="1"/>
  <c r="O129" i="1"/>
  <c r="R90" i="1"/>
  <c r="R60" i="1"/>
  <c r="O111" i="1"/>
  <c r="O99" i="1"/>
  <c r="O24" i="1"/>
  <c r="L156" i="1"/>
  <c r="O105" i="1"/>
  <c r="O33" i="1"/>
  <c r="O63" i="1"/>
  <c r="O126" i="1"/>
  <c r="O21" i="1"/>
  <c r="O51" i="1"/>
  <c r="R96" i="1"/>
  <c r="R6" i="1"/>
  <c r="R66" i="1"/>
  <c r="R141" i="1"/>
  <c r="R39" i="1"/>
  <c r="R9" i="1"/>
  <c r="R84" i="1"/>
  <c r="R3" i="1"/>
  <c r="R54" i="1"/>
  <c r="R30" i="1"/>
  <c r="H159" i="1"/>
  <c r="E159" i="1" l="1"/>
  <c r="E161" i="1" s="1"/>
  <c r="K159" i="1"/>
  <c r="K161" i="1" s="1"/>
  <c r="K162" i="1" s="1"/>
  <c r="R156" i="1"/>
</calcChain>
</file>

<file path=xl/sharedStrings.xml><?xml version="1.0" encoding="utf-8"?>
<sst xmlns="http://schemas.openxmlformats.org/spreadsheetml/2006/main" count="954" uniqueCount="345">
  <si>
    <t>vm03p@laposte.net</t>
  </si>
  <si>
    <t>Claudie Malhomme</t>
  </si>
  <si>
    <t>Lucette Berceaux</t>
  </si>
  <si>
    <t>lucette.berceaux@wanadoo.fr</t>
  </si>
  <si>
    <t>Jean-Michel Soloch</t>
  </si>
  <si>
    <t>Yvon Quinio</t>
  </si>
  <si>
    <t>yvon.quinio911@orange.fr</t>
  </si>
  <si>
    <t>Serge Bervoests</t>
  </si>
  <si>
    <t>bervoests@numericable.fr</t>
  </si>
  <si>
    <t>Maxime Jolibois</t>
  </si>
  <si>
    <t>maxime.jolibois@wanadoo.fr</t>
  </si>
  <si>
    <t>Maxime jolibois</t>
  </si>
  <si>
    <t>Jean_luc.pochon@mac.com</t>
  </si>
  <si>
    <t>compte n°</t>
  </si>
  <si>
    <t>cot unit</t>
  </si>
  <si>
    <t>règ 01</t>
  </si>
  <si>
    <t>date</t>
  </si>
  <si>
    <t>règ 02</t>
  </si>
  <si>
    <t>Jean-Christophe Greuet</t>
  </si>
  <si>
    <t>greuetjc@numericable.fr</t>
  </si>
  <si>
    <t>Jean-Luc Pochon</t>
  </si>
  <si>
    <t>solde</t>
  </si>
  <si>
    <t>?</t>
  </si>
  <si>
    <t>Saint Jean au Temple de la Paix (GODF)</t>
  </si>
  <si>
    <t>La Noble Amitié (GODF)</t>
  </si>
  <si>
    <t>Pierre Perrat à l'Etoile Flamboyante (GODF)</t>
  </si>
  <si>
    <t>L'Arbre et la Pierre (GODF)</t>
  </si>
  <si>
    <t>Les Amis de la Vérité (GODF)</t>
  </si>
  <si>
    <t>La Règle et l'Infini (GODF)</t>
  </si>
  <si>
    <t>Maître Villard de Honnecourt (GODF)</t>
  </si>
  <si>
    <t>Vitruve (GODF)</t>
  </si>
  <si>
    <t>Les Vrais Amis de Metz 04/14 (GODF)</t>
  </si>
  <si>
    <t>Les Vrais Amis de Metz 18 (GODF)</t>
  </si>
  <si>
    <t>Les Vrais Amis de Metz 30 (GODF)</t>
  </si>
  <si>
    <t>Maître Hiram de Tyr (GODF)</t>
  </si>
  <si>
    <t>Marc Chagall (GODF)</t>
  </si>
  <si>
    <t>Imhotep de Sakkara (GODF)</t>
  </si>
  <si>
    <t>L'Ecole de la Sagesse (GLDF)</t>
  </si>
  <si>
    <t>Zoroastre (GLDF)</t>
  </si>
  <si>
    <t>Ensemble (GLDF)</t>
  </si>
  <si>
    <t>La Sagesse 04/14 (GLDF)</t>
  </si>
  <si>
    <t>Victoria Spiritus 18 (GLDF)</t>
  </si>
  <si>
    <t>Les Chevaliers de l'Aigle Blanc et Noir 30 (GLDF)</t>
  </si>
  <si>
    <t>L'Arche d'Alliance (DH)</t>
  </si>
  <si>
    <t>Médiation (DH)</t>
  </si>
  <si>
    <t>Agora (DH)</t>
  </si>
  <si>
    <t>Stoa (DH)</t>
  </si>
  <si>
    <t>Maât 04/14 (DH)</t>
  </si>
  <si>
    <t>Yggdrasill 04/14 (DH)</t>
  </si>
  <si>
    <t>Métamorphoses 18 (DH)</t>
  </si>
  <si>
    <t>Stanislas Lorraine 30 (DH)</t>
  </si>
  <si>
    <t>Concordia (GLFF)</t>
  </si>
  <si>
    <t>Léonard de Vinci (GLTSO)</t>
  </si>
  <si>
    <t>Ruydiard Kipling (GLTSO)</t>
  </si>
  <si>
    <t>Le Phénix (GPERRO)</t>
  </si>
  <si>
    <t>Les Amis de Lorraine (GLAMF)</t>
  </si>
  <si>
    <t>Conclave Saint Etienne (GLNF)</t>
  </si>
  <si>
    <t>Portes de Metz 04/14 (GLAMF)</t>
  </si>
  <si>
    <t xml:space="preserve">Baron de Tschoudy 18 (GLAMF) </t>
  </si>
  <si>
    <t>Unis dans la diversité 04/14 (GODF)</t>
  </si>
  <si>
    <t>Clément de Metz 04/14 (GLTSO)</t>
  </si>
  <si>
    <t>LOGE</t>
  </si>
  <si>
    <t>ASSOCIATION PROFANE</t>
  </si>
  <si>
    <t>Association johannique</t>
  </si>
  <si>
    <t>Association Pierre Perrat</t>
  </si>
  <si>
    <t>Cercle philosophique La Noble Amitié</t>
  </si>
  <si>
    <t>Cercle philosophique Les amis de la Vérité</t>
  </si>
  <si>
    <t>Association Les Amis de la Règle</t>
  </si>
  <si>
    <t>Association Les Trois Piliers</t>
  </si>
  <si>
    <t>La République à l'Ecole de la Fraternité (GODF)</t>
  </si>
  <si>
    <t>Association Théodore de Tschoudy</t>
  </si>
  <si>
    <t>Association Les Amis de Honnecourt</t>
  </si>
  <si>
    <t>Association Vitruve</t>
  </si>
  <si>
    <t>Association Alliance 1455</t>
  </si>
  <si>
    <t>Association Les amis de Médiation 1683</t>
  </si>
  <si>
    <t>Cercle Agora 1834</t>
  </si>
  <si>
    <t>Association ATOS 1936</t>
  </si>
  <si>
    <t>Association ESREA</t>
  </si>
  <si>
    <t>Association Erudy</t>
  </si>
  <si>
    <t>Cercle Philosophique Concordia</t>
  </si>
  <si>
    <t>Association Ruydiard Kipling</t>
  </si>
  <si>
    <t>Association Les Amis du Phénix</t>
  </si>
  <si>
    <t>Association Les Amis de la République</t>
  </si>
  <si>
    <t>Cercle philosophique Les Vrais Amis de Metz</t>
  </si>
  <si>
    <t>Cercle philosophique du Val de Metz</t>
  </si>
  <si>
    <t>Association philosophique Lorraine</t>
  </si>
  <si>
    <t>Consistoire de Lorraine 31 32 (GODF)</t>
  </si>
  <si>
    <t>Association philosophique, humaniste et laïque de Lorraine</t>
  </si>
  <si>
    <t>Association Kedros-Lithos-Ergon</t>
  </si>
  <si>
    <t>Association Lumière de Chagall</t>
  </si>
  <si>
    <t>Association Ars Regia</t>
  </si>
  <si>
    <t>Association Les amis de Maât 7111</t>
  </si>
  <si>
    <t>Association Yggdrasill 7148</t>
  </si>
  <si>
    <t>Association Métamorphoses 9194</t>
  </si>
  <si>
    <t>Association Stanislas 8137</t>
  </si>
  <si>
    <t>NOM</t>
  </si>
  <si>
    <t>Président</t>
  </si>
  <si>
    <t>Délégué</t>
  </si>
  <si>
    <t>Trésorier</t>
  </si>
  <si>
    <t>Association L'Œuvre de l'architecte Inigo Jones</t>
  </si>
  <si>
    <t>Heliopolis renaissante (GODF)</t>
  </si>
  <si>
    <t>Bernard Wirth</t>
  </si>
  <si>
    <t>bernard.marc.wirth@wanadoo.fr</t>
  </si>
  <si>
    <t>Raphaël Herr</t>
  </si>
  <si>
    <t>Jean-Charles Paquet</t>
  </si>
  <si>
    <t>jcpaquet@aol.com</t>
  </si>
  <si>
    <t>Gaëtan Philbiche</t>
  </si>
  <si>
    <t>Jacques Alexandre</t>
  </si>
  <si>
    <t>gtan@no-log.org</t>
  </si>
  <si>
    <t>jacques.macarons@free.fr</t>
  </si>
  <si>
    <t>Guy Vignard</t>
  </si>
  <si>
    <t>guy.vignard@neuf.fr</t>
  </si>
  <si>
    <t>Patrick Jeanguyot</t>
  </si>
  <si>
    <t>Serge Berceville</t>
  </si>
  <si>
    <t>serge.berceville@free.fr</t>
  </si>
  <si>
    <t>Corinne Delporte</t>
  </si>
  <si>
    <t>corinnedelporte@orange.fr</t>
  </si>
  <si>
    <t>Robert Koquely</t>
  </si>
  <si>
    <t>robert.koquely@laposte.net</t>
  </si>
  <si>
    <t>Philippe Simon</t>
  </si>
  <si>
    <t>philippesimon100@gmail.fr</t>
  </si>
  <si>
    <t>André Magar</t>
  </si>
  <si>
    <t>andre.magar@orange.fr</t>
  </si>
  <si>
    <t>Georges Gautrot</t>
  </si>
  <si>
    <t>gautrotge@numericable.fr</t>
  </si>
  <si>
    <t>Jacky Dumont</t>
  </si>
  <si>
    <t>Jean-Luc Burgain</t>
  </si>
  <si>
    <t>Patrick Salvino</t>
  </si>
  <si>
    <t>p.salvino@groupesalvino.fr</t>
  </si>
  <si>
    <t>Xavier Grivel</t>
  </si>
  <si>
    <t>grivelxavier@gmail.com</t>
  </si>
  <si>
    <t>Jacques Simon</t>
  </si>
  <si>
    <t>jasimon57@gmail.com</t>
  </si>
  <si>
    <t>Jean-Luc Lecharpentier</t>
  </si>
  <si>
    <t>lecharpentier.jl@wanadoo,fr</t>
  </si>
  <si>
    <t>Camille Kainz</t>
  </si>
  <si>
    <t>c.kainz@orange.fr</t>
  </si>
  <si>
    <t>Jean Combelles</t>
  </si>
  <si>
    <t>jecombelles@wanadoo.fr</t>
  </si>
  <si>
    <t>ADRESSE DE COURRIEL</t>
  </si>
  <si>
    <t>Association Sophia</t>
  </si>
  <si>
    <t>Association le Phénix</t>
  </si>
  <si>
    <t>Association Les Amis de Léonard de Vinci</t>
  </si>
  <si>
    <t>Association Athanor</t>
  </si>
  <si>
    <t>Association REAA 1019</t>
  </si>
  <si>
    <t>Association Le Pélican</t>
  </si>
  <si>
    <t>Lorraine Saint-Osyth n° 10 (GLNF)</t>
  </si>
  <si>
    <t>Association Les amis de Lorraine</t>
  </si>
  <si>
    <t>Laurent Dap</t>
  </si>
  <si>
    <t>Marc Gaiga</t>
  </si>
  <si>
    <t>pjgt@me,com</t>
  </si>
  <si>
    <t>Aurélie Morel Piquard</t>
  </si>
  <si>
    <t>vm,stoa@gmail,com</t>
  </si>
  <si>
    <t>Bernard Gleser</t>
  </si>
  <si>
    <t>Francis Thomas</t>
  </si>
  <si>
    <t>Josiane touba</t>
  </si>
  <si>
    <t>Marc Houver</t>
  </si>
  <si>
    <t>Joseph Valeri</t>
  </si>
  <si>
    <t>marc,houver@gmail,com</t>
  </si>
  <si>
    <t>zv@wanadoo,fr</t>
  </si>
  <si>
    <t>Jean-Jacques Bonnin</t>
  </si>
  <si>
    <t>jeabonnin@numericable,fr</t>
  </si>
  <si>
    <t>Dominique Venter</t>
  </si>
  <si>
    <t>dominique,venter@wanadoo,fr</t>
  </si>
  <si>
    <t>Roger Wadier</t>
  </si>
  <si>
    <t>roger,wadier@free,fr</t>
  </si>
  <si>
    <t>Jean-Jacques François</t>
  </si>
  <si>
    <t>jj,francois@me,com</t>
  </si>
  <si>
    <t>herr,raphael@gmail,com</t>
  </si>
  <si>
    <t>Bernard Girard</t>
  </si>
  <si>
    <t>girard,bernard@gmail,com</t>
  </si>
  <si>
    <t>Bernard Montinet</t>
  </si>
  <si>
    <t>Patrick Favier</t>
  </si>
  <si>
    <t>3p@courtage-favier,fr</t>
  </si>
  <si>
    <t>tresor03p@laposte.net</t>
  </si>
  <si>
    <t>Denis Poinsignon</t>
  </si>
  <si>
    <t>denis.poinsignon@numericable ,fr</t>
  </si>
  <si>
    <t>Antoine Curulla</t>
  </si>
  <si>
    <t>acurulla@wanadoo,fr</t>
  </si>
  <si>
    <t>Cédric Lebosse</t>
  </si>
  <si>
    <t>wm,ref@laposte,net</t>
  </si>
  <si>
    <t>Jean-Claude Poiarez</t>
  </si>
  <si>
    <t>jcpoiarez@gmail,com</t>
  </si>
  <si>
    <t>Jocelyn Villard</t>
  </si>
  <si>
    <t>jocelyn.villard@gmail,com</t>
  </si>
  <si>
    <t>Daniel Stilinovic</t>
  </si>
  <si>
    <t>danilo.stili@gmail.com</t>
  </si>
  <si>
    <t>gaiga.marc @wanadoo.fr</t>
  </si>
  <si>
    <t>tresorvadm414@laposte.net</t>
  </si>
  <si>
    <t>Daniel Contini</t>
  </si>
  <si>
    <t>dcontini@modulonet.fr</t>
  </si>
  <si>
    <t>zv@wanadoo.fr</t>
  </si>
  <si>
    <t>jeanluc.burgain@orange.fr</t>
  </si>
  <si>
    <t>girard.bernard@yahoo.fr</t>
  </si>
  <si>
    <t>Pierre Gandar</t>
  </si>
  <si>
    <t>Jean-Marc Guidat</t>
  </si>
  <si>
    <t>gandarp@wanadoo.fr</t>
  </si>
  <si>
    <t>guidat2@wanadoo.fr</t>
  </si>
  <si>
    <t>chapitre.inigo.jones@gmail.com</t>
  </si>
  <si>
    <t>vmedls@laposte.net</t>
  </si>
  <si>
    <t>Thierry de Poerck</t>
  </si>
  <si>
    <t>thierrydepoerck@gmail.com</t>
  </si>
  <si>
    <t>Thierry Zins</t>
  </si>
  <si>
    <t>thierryzins@orange.fr</t>
  </si>
  <si>
    <t>Didier Schmitt</t>
  </si>
  <si>
    <t>d-schmitt.perso@wanadoo.fr</t>
  </si>
  <si>
    <t>Jean-Paul Ruzie</t>
  </si>
  <si>
    <t>Marcel Mutis</t>
  </si>
  <si>
    <t>vene.archealliance1455@gmail.com</t>
  </si>
  <si>
    <t>claudiescy@orange,fr</t>
  </si>
  <si>
    <t>Sylvie Gauthier</t>
  </si>
  <si>
    <t>sylviegauthier57@free.fr</t>
  </si>
  <si>
    <t>Salvatore Battaglieri</t>
  </si>
  <si>
    <t>salva.battaglieri@hotmail.com</t>
  </si>
  <si>
    <t>Christian Septon</t>
  </si>
  <si>
    <t>christian.septon@numéricable.fr</t>
  </si>
  <si>
    <t>Lionel Fourny</t>
  </si>
  <si>
    <t>lionel.fourny57@gmail.com</t>
  </si>
  <si>
    <t>Matthieu Mulot</t>
  </si>
  <si>
    <t>matth.mulot@free.fr</t>
  </si>
  <si>
    <t>Jean-Yves Thisse</t>
  </si>
  <si>
    <t>jythisse@mac.com</t>
  </si>
  <si>
    <t>Association des Marches d'Orient</t>
  </si>
  <si>
    <t>jmsoloch@orange.fr</t>
  </si>
  <si>
    <t>Maître Inigo Jones 04 (GODF)</t>
  </si>
  <si>
    <t>Ici et Maintenant (DH)</t>
  </si>
  <si>
    <t>Phénix 18 (DH)</t>
  </si>
  <si>
    <t>Michel Meley</t>
  </si>
  <si>
    <t>ghibl@numericable.fr</t>
  </si>
  <si>
    <t>Fabrice Battistutta</t>
  </si>
  <si>
    <t>nell5798@wanadoo.fr</t>
  </si>
  <si>
    <t>Pierre Renauld</t>
  </si>
  <si>
    <t>bernard.montinet@gmail.com</t>
  </si>
  <si>
    <t xml:space="preserve">  </t>
  </si>
  <si>
    <t>eric.sauvage@gmail,com</t>
  </si>
  <si>
    <t>Eric Sauvage</t>
  </si>
  <si>
    <t>Philippe Delaporte</t>
  </si>
  <si>
    <t>philippe.delaporte4@wanadoo.fr</t>
  </si>
  <si>
    <t>Gilbert Dalstein</t>
  </si>
  <si>
    <t>dalstein.gilbert@wanadoo.fr</t>
  </si>
  <si>
    <t>Laurent Goutin</t>
  </si>
  <si>
    <t>renaudpi@aol.com</t>
  </si>
  <si>
    <t>Tristan Dangoumau</t>
  </si>
  <si>
    <t>dangoumautristan@yahoo.fr</t>
  </si>
  <si>
    <t>Jean-Philippe Eckert</t>
  </si>
  <si>
    <t>jph.eckert@wanadoo.fr</t>
  </si>
  <si>
    <t>Claude Fouillat</t>
  </si>
  <si>
    <t>claude.fouillat@wanadoo.fr</t>
  </si>
  <si>
    <t>l.dap@wanadoo.fr</t>
  </si>
  <si>
    <t>Christian Adam</t>
  </si>
  <si>
    <t>christianadam22@gmail.com</t>
  </si>
  <si>
    <t>Gérard Sautre</t>
  </si>
  <si>
    <t>gerard.sautre@wanadoo,fr</t>
  </si>
  <si>
    <t>Gilles Thepot</t>
  </si>
  <si>
    <t>agora1834@gmail.com</t>
  </si>
  <si>
    <t>Anne Longevialle</t>
  </si>
  <si>
    <t>anne.longevialle@gmail.com</t>
  </si>
  <si>
    <t>toubajosiane@gmail.com</t>
  </si>
  <si>
    <t>Unis dans la diversité 18 (GODF)</t>
  </si>
  <si>
    <t>Association Les Amis de Moselle</t>
  </si>
  <si>
    <t>Christian Alberti</t>
  </si>
  <si>
    <t xml:space="preserve">christan.alberti65@gmail.com
</t>
  </si>
  <si>
    <t>André Iser</t>
  </si>
  <si>
    <t xml:space="preserve">andre.iser@live.fr
</t>
  </si>
  <si>
    <t>Les Trois Piliers (GODF)</t>
  </si>
  <si>
    <t>Dominique Becker</t>
  </si>
  <si>
    <t>dominique.becker@laposte.net</t>
  </si>
  <si>
    <t>Annie Morel</t>
  </si>
  <si>
    <t>fraucaju@numericable.fr</t>
  </si>
  <si>
    <t>Evelyne Masius</t>
  </si>
  <si>
    <t>Marie-Claude Valdenaire</t>
  </si>
  <si>
    <t>Micheline Callanquin</t>
  </si>
  <si>
    <t>Francis Mahou</t>
  </si>
  <si>
    <t>francis.mahou@gmail.com</t>
  </si>
  <si>
    <t>Daniel Peguero</t>
  </si>
  <si>
    <t>daniel.peguero@orange.fr</t>
  </si>
  <si>
    <t>Christian Clementz</t>
  </si>
  <si>
    <t>Pierre Wetzel</t>
  </si>
  <si>
    <t>pierre.wetzel@laposte.net</t>
  </si>
  <si>
    <t>Patrick Menard</t>
  </si>
  <si>
    <t>patrick.menard48@orange.fr</t>
  </si>
  <si>
    <t>Patrice Wintzenrieth</t>
  </si>
  <si>
    <t>patrice.wintzenrieth@gmail.com</t>
  </si>
  <si>
    <t>Jean-Marie Cardon</t>
  </si>
  <si>
    <t>jm.cardon@jm2c.fr</t>
  </si>
  <si>
    <t>jp.ruz@wanadoo.fr</t>
  </si>
  <si>
    <t>Adriana Théobald</t>
  </si>
  <si>
    <t>evelyne@masius,info</t>
  </si>
  <si>
    <t>marie-claude@valdenaire.org</t>
  </si>
  <si>
    <t>Patrick Vincent</t>
  </si>
  <si>
    <t>artcad.vincent@orange.fr</t>
  </si>
  <si>
    <t>Jean-Christophe Sinegre</t>
  </si>
  <si>
    <t>sinegrejcml@wanadoo.fr</t>
  </si>
  <si>
    <t>Stéphane Goullet</t>
  </si>
  <si>
    <t>stephane.goullet@lorex.fr</t>
  </si>
  <si>
    <t>Philippe Maisonneuve</t>
  </si>
  <si>
    <t>philippe.maisonneuve88@orange,fr</t>
  </si>
  <si>
    <t>Les Portes de Metz 959</t>
  </si>
  <si>
    <t>Paul Bonati</t>
  </si>
  <si>
    <t>paulbonati@gmail.com</t>
  </si>
  <si>
    <t>Association Les amis de Moselle</t>
  </si>
  <si>
    <t>micheline.cal@numericable.fr</t>
  </si>
  <si>
    <t>jackydmnt@gmail.com</t>
  </si>
  <si>
    <t>theobald.adriana@free.fr</t>
  </si>
  <si>
    <t>Denis Perbal</t>
  </si>
  <si>
    <t>loges bleues</t>
  </si>
  <si>
    <t>esra.tresorier@orange.fr</t>
  </si>
  <si>
    <t>denisperbal@hotmail.fr</t>
  </si>
  <si>
    <t>ateliers de perfection</t>
  </si>
  <si>
    <t xml:space="preserve">laurent.goutain@gmail.com
</t>
  </si>
  <si>
    <t>AOSF-Croix Rouge de Constantin Saint-Etienne n° 21</t>
  </si>
  <si>
    <t>Grand Prieuré des Ordres Unis Maçonniques Lorraine Saint-Osith</t>
  </si>
  <si>
    <t>compte disponible</t>
  </si>
  <si>
    <t>effectif 31 12 2019</t>
  </si>
  <si>
    <t>nombre * 80,00</t>
  </si>
  <si>
    <t>nombre * 2,70 * nbre de tenues</t>
  </si>
  <si>
    <t>location Lafayette Congrès</t>
  </si>
  <si>
    <t>330,00 / jour</t>
  </si>
  <si>
    <t>Note :  Avec Maat 4/14</t>
  </si>
  <si>
    <t>effectif 31 12 2020</t>
  </si>
  <si>
    <t>Les Porteurs de Lumière</t>
  </si>
  <si>
    <t>DIVODURUM 1148</t>
  </si>
  <si>
    <t>Association Divodurum</t>
  </si>
  <si>
    <t>Association Les Porteurs de Lumière</t>
  </si>
  <si>
    <t>effectif 31 12 2021</t>
  </si>
  <si>
    <t>nombre * 21,5</t>
  </si>
  <si>
    <t>cotisation 2022</t>
  </si>
  <si>
    <t>Va avec Métamorphoses et Phénix 18</t>
  </si>
  <si>
    <t>ecart</t>
  </si>
  <si>
    <t xml:space="preserve">Les Chevaliers de l'Aigle Blanc et Noir </t>
  </si>
  <si>
    <t>effectif 2020</t>
  </si>
  <si>
    <t>effectif 2021</t>
  </si>
  <si>
    <t>effectif 2022</t>
  </si>
  <si>
    <t>effectif 31 12 2022</t>
  </si>
  <si>
    <t>cotisation 2023</t>
  </si>
  <si>
    <t>La Rép. à l'Ecole de la Fraternité (GODF)</t>
  </si>
  <si>
    <t>Maître Indigo Jones 04 (GODF)</t>
  </si>
  <si>
    <t>La Voix de la Liberté</t>
  </si>
  <si>
    <t>effectif 31 12 2023</t>
  </si>
  <si>
    <t>cotisation 2024</t>
  </si>
  <si>
    <t>effectif 31 12 2024</t>
  </si>
  <si>
    <t>cotisation 2025</t>
  </si>
  <si>
    <t>SOUS TOTAL LOGES BLEUES</t>
  </si>
  <si>
    <t>SOUS TOTAL HAUTS GRADES</t>
  </si>
  <si>
    <t>effectif 31 12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</si>
</sst>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9"/>
      <name val="Verdana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u/>
      <sz val="10"/>
      <color indexed="12"/>
      <name val="Verdana"/>
      <family val="2"/>
    </font>
    <font>
      <b/>
      <sz val="12"/>
      <name val="Verdana"/>
      <family val="2"/>
    </font>
    <font>
      <b/>
      <sz val="9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1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2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3" borderId="1" xfId="1" applyFill="1" applyBorder="1" applyAlignment="1" applyProtection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1" applyBorder="1" applyAlignment="1" applyProtection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2" xfId="1" applyFill="1" applyBorder="1" applyAlignment="1" applyProtection="1">
      <alignment horizontal="left" vertical="top" wrapText="1"/>
    </xf>
    <xf numFmtId="0" fontId="6" fillId="0" borderId="0" xfId="0" applyFont="1"/>
    <xf numFmtId="0" fontId="1" fillId="3" borderId="2" xfId="1" applyFill="1" applyBorder="1" applyAlignment="1" applyProtection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7" fillId="0" borderId="2" xfId="1" applyFont="1" applyFill="1" applyBorder="1" applyAlignment="1" applyProtection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1" fillId="3" borderId="1" xfId="1" applyFill="1" applyBorder="1" applyAlignment="1" applyProtection="1">
      <alignment vertical="center"/>
    </xf>
    <xf numFmtId="0" fontId="1" fillId="3" borderId="2" xfId="1" applyFill="1" applyBorder="1" applyAlignment="1" applyProtection="1">
      <alignment vertical="top" wrapText="1"/>
    </xf>
    <xf numFmtId="0" fontId="1" fillId="0" borderId="1" xfId="1" applyFill="1" applyBorder="1" applyAlignment="1" applyProtection="1">
      <alignment vertical="top" wrapText="1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right" vertical="center"/>
    </xf>
    <xf numFmtId="0" fontId="1" fillId="3" borderId="0" xfId="1" applyFill="1" applyAlignment="1" applyProtection="1"/>
    <xf numFmtId="0" fontId="3" fillId="3" borderId="1" xfId="0" applyFont="1" applyFill="1" applyBorder="1"/>
    <xf numFmtId="0" fontId="1" fillId="3" borderId="1" xfId="1" applyFill="1" applyBorder="1" applyAlignment="1" applyProtection="1"/>
    <xf numFmtId="0" fontId="1" fillId="3" borderId="1" xfId="1" applyFill="1" applyBorder="1" applyAlignment="1" applyProtection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/>
    <xf numFmtId="3" fontId="2" fillId="0" borderId="0" xfId="0" applyNumberFormat="1" applyFont="1"/>
    <xf numFmtId="4" fontId="2" fillId="4" borderId="1" xfId="0" applyNumberFormat="1" applyFont="1" applyFill="1" applyBorder="1" applyAlignment="1">
      <alignment horizontal="right" vertical="center"/>
    </xf>
    <xf numFmtId="0" fontId="2" fillId="4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44" fontId="0" fillId="0" borderId="0" xfId="3" applyFont="1"/>
    <xf numFmtId="43" fontId="5" fillId="0" borderId="0" xfId="2" applyFont="1"/>
    <xf numFmtId="0" fontId="11" fillId="0" borderId="0" xfId="0" applyFont="1"/>
    <xf numFmtId="0" fontId="11" fillId="0" borderId="5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2" fontId="11" fillId="3" borderId="3" xfId="0" applyNumberFormat="1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8" borderId="4" xfId="0" applyFont="1" applyFill="1" applyBorder="1" applyAlignment="1">
      <alignment vertical="center" wrapText="1"/>
    </xf>
    <xf numFmtId="2" fontId="11" fillId="0" borderId="4" xfId="0" applyNumberFormat="1" applyFont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1" fillId="8" borderId="5" xfId="0" applyFont="1" applyFill="1" applyBorder="1" applyAlignment="1">
      <alignment vertical="center" wrapText="1"/>
    </xf>
    <xf numFmtId="2" fontId="11" fillId="3" borderId="5" xfId="0" applyNumberFormat="1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2" fontId="11" fillId="0" borderId="3" xfId="0" applyNumberFormat="1" applyFont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vertical="center" wrapText="1"/>
    </xf>
    <xf numFmtId="2" fontId="11" fillId="0" borderId="5" xfId="0" applyNumberFormat="1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3" fontId="10" fillId="4" borderId="1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1" fillId="3" borderId="5" xfId="1" applyFont="1" applyFill="1" applyBorder="1" applyAlignment="1" applyProtection="1">
      <alignment horizontal="center" vertical="center" wrapText="1"/>
    </xf>
    <xf numFmtId="0" fontId="11" fillId="3" borderId="5" xfId="1" applyFont="1" applyFill="1" applyBorder="1" applyAlignment="1" applyProtection="1">
      <alignment vertical="center" wrapText="1"/>
    </xf>
    <xf numFmtId="2" fontId="11" fillId="3" borderId="5" xfId="1" applyNumberFormat="1" applyFont="1" applyFill="1" applyBorder="1" applyAlignment="1" applyProtection="1">
      <alignment vertical="center" wrapText="1"/>
    </xf>
    <xf numFmtId="0" fontId="10" fillId="5" borderId="0" xfId="0" applyFont="1" applyFill="1"/>
    <xf numFmtId="0" fontId="11" fillId="3" borderId="4" xfId="0" applyFont="1" applyFill="1" applyBorder="1" applyAlignment="1">
      <alignment vertical="center"/>
    </xf>
    <xf numFmtId="44" fontId="11" fillId="2" borderId="1" xfId="3" applyFont="1" applyFill="1" applyBorder="1" applyAlignment="1">
      <alignment horizontal="center" vertical="center" wrapText="1"/>
    </xf>
    <xf numFmtId="44" fontId="11" fillId="3" borderId="3" xfId="3" applyFont="1" applyFill="1" applyBorder="1" applyAlignment="1">
      <alignment vertical="center" wrapText="1"/>
    </xf>
    <xf numFmtId="44" fontId="11" fillId="0" borderId="4" xfId="3" applyFont="1" applyFill="1" applyBorder="1" applyAlignment="1">
      <alignment vertical="center" wrapText="1"/>
    </xf>
    <xf numFmtId="44" fontId="11" fillId="3" borderId="5" xfId="3" applyFont="1" applyFill="1" applyBorder="1" applyAlignment="1">
      <alignment vertical="center" wrapText="1"/>
    </xf>
    <xf numFmtId="44" fontId="11" fillId="0" borderId="3" xfId="3" applyFont="1" applyFill="1" applyBorder="1" applyAlignment="1">
      <alignment vertical="center" wrapText="1"/>
    </xf>
    <xf numFmtId="44" fontId="11" fillId="3" borderId="4" xfId="3" applyFont="1" applyFill="1" applyBorder="1" applyAlignment="1">
      <alignment vertical="center" wrapText="1"/>
    </xf>
    <xf numFmtId="44" fontId="11" fillId="0" borderId="5" xfId="3" applyFont="1" applyBorder="1" applyAlignment="1">
      <alignment vertical="center"/>
    </xf>
    <xf numFmtId="44" fontId="11" fillId="3" borderId="3" xfId="3" applyFont="1" applyFill="1" applyBorder="1" applyAlignment="1">
      <alignment vertical="center"/>
    </xf>
    <xf numFmtId="44" fontId="11" fillId="0" borderId="4" xfId="3" applyFont="1" applyBorder="1" applyAlignment="1">
      <alignment vertical="center"/>
    </xf>
    <xf numFmtId="44" fontId="11" fillId="3" borderId="5" xfId="3" applyFont="1" applyFill="1" applyBorder="1" applyAlignment="1">
      <alignment vertical="center"/>
    </xf>
    <xf numFmtId="44" fontId="11" fillId="0" borderId="3" xfId="3" applyFont="1" applyBorder="1" applyAlignment="1">
      <alignment vertical="center"/>
    </xf>
    <xf numFmtId="44" fontId="11" fillId="3" borderId="4" xfId="3" applyFont="1" applyFill="1" applyBorder="1" applyAlignment="1">
      <alignment vertical="center"/>
    </xf>
    <xf numFmtId="44" fontId="11" fillId="0" borderId="4" xfId="3" applyFont="1" applyFill="1" applyBorder="1" applyAlignment="1">
      <alignment vertical="center"/>
    </xf>
    <xf numFmtId="44" fontId="11" fillId="0" borderId="3" xfId="3" applyFont="1" applyFill="1" applyBorder="1" applyAlignment="1">
      <alignment vertical="center"/>
    </xf>
    <xf numFmtId="44" fontId="10" fillId="4" borderId="1" xfId="3" applyFont="1" applyFill="1" applyBorder="1" applyAlignment="1">
      <alignment horizontal="center" vertical="center"/>
    </xf>
    <xf numFmtId="44" fontId="11" fillId="0" borderId="0" xfId="3" applyFont="1"/>
    <xf numFmtId="0" fontId="11" fillId="5" borderId="0" xfId="0" applyFont="1" applyFill="1"/>
    <xf numFmtId="0" fontId="11" fillId="5" borderId="3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2" fontId="11" fillId="5" borderId="4" xfId="0" applyNumberFormat="1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horizontal="center" vertical="center" wrapText="1"/>
    </xf>
    <xf numFmtId="2" fontId="11" fillId="5" borderId="5" xfId="0" applyNumberFormat="1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/>
    </xf>
    <xf numFmtId="4" fontId="11" fillId="5" borderId="3" xfId="0" applyNumberFormat="1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/>
    </xf>
    <xf numFmtId="4" fontId="11" fillId="5" borderId="4" xfId="0" applyNumberFormat="1" applyFont="1" applyFill="1" applyBorder="1" applyAlignment="1">
      <alignment vertical="center" wrapText="1"/>
    </xf>
    <xf numFmtId="4" fontId="11" fillId="5" borderId="5" xfId="0" applyNumberFormat="1" applyFont="1" applyFill="1" applyBorder="1" applyAlignment="1">
      <alignment vertical="center"/>
    </xf>
    <xf numFmtId="4" fontId="11" fillId="5" borderId="3" xfId="0" applyNumberFormat="1" applyFont="1" applyFill="1" applyBorder="1" applyAlignment="1">
      <alignment vertical="center"/>
    </xf>
    <xf numFmtId="4" fontId="11" fillId="5" borderId="4" xfId="0" applyNumberFormat="1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4" fontId="11" fillId="5" borderId="5" xfId="0" applyNumberFormat="1" applyFont="1" applyFill="1" applyBorder="1" applyAlignment="1">
      <alignment vertical="center" wrapText="1"/>
    </xf>
    <xf numFmtId="0" fontId="6" fillId="5" borderId="0" xfId="0" applyFont="1" applyFill="1"/>
    <xf numFmtId="0" fontId="11" fillId="5" borderId="5" xfId="1" applyFont="1" applyFill="1" applyBorder="1" applyAlignment="1" applyProtection="1">
      <alignment horizontal="center" vertical="center" wrapText="1"/>
    </xf>
    <xf numFmtId="0" fontId="11" fillId="5" borderId="5" xfId="1" applyFont="1" applyFill="1" applyBorder="1" applyAlignment="1" applyProtection="1">
      <alignment vertical="center" wrapText="1"/>
    </xf>
    <xf numFmtId="3" fontId="10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11" fillId="6" borderId="5" xfId="0" applyFont="1" applyFill="1" applyBorder="1" applyAlignment="1">
      <alignment vertical="center" wrapText="1"/>
    </xf>
    <xf numFmtId="2" fontId="11" fillId="9" borderId="3" xfId="0" applyNumberFormat="1" applyFont="1" applyFill="1" applyBorder="1" applyAlignment="1">
      <alignment vertical="center" wrapText="1"/>
    </xf>
    <xf numFmtId="2" fontId="11" fillId="9" borderId="4" xfId="0" applyNumberFormat="1" applyFont="1" applyFill="1" applyBorder="1" applyAlignment="1">
      <alignment vertical="center" wrapText="1"/>
    </xf>
    <xf numFmtId="2" fontId="11" fillId="9" borderId="5" xfId="0" applyNumberFormat="1" applyFont="1" applyFill="1" applyBorder="1" applyAlignment="1">
      <alignment vertical="center" wrapText="1"/>
    </xf>
    <xf numFmtId="2" fontId="11" fillId="9" borderId="5" xfId="1" applyNumberFormat="1" applyFont="1" applyFill="1" applyBorder="1" applyAlignment="1" applyProtection="1">
      <alignment vertical="center" wrapText="1"/>
    </xf>
    <xf numFmtId="4" fontId="10" fillId="5" borderId="1" xfId="0" applyNumberFormat="1" applyFont="1" applyFill="1" applyBorder="1" applyAlignment="1">
      <alignment horizontal="center" vertical="center"/>
    </xf>
    <xf numFmtId="4" fontId="10" fillId="5" borderId="0" xfId="0" applyNumberFormat="1" applyFont="1" applyFill="1"/>
    <xf numFmtId="0" fontId="15" fillId="2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8" borderId="3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8" borderId="5" xfId="1" applyFont="1" applyFill="1" applyBorder="1" applyAlignment="1" applyProtection="1">
      <alignment vertical="center" wrapText="1"/>
    </xf>
    <xf numFmtId="43" fontId="11" fillId="2" borderId="1" xfId="2" applyFont="1" applyFill="1" applyBorder="1" applyAlignment="1">
      <alignment horizontal="center" vertical="center" wrapText="1"/>
    </xf>
    <xf numFmtId="43" fontId="11" fillId="5" borderId="3" xfId="2" applyFont="1" applyFill="1" applyBorder="1" applyAlignment="1">
      <alignment vertical="center" wrapText="1"/>
    </xf>
    <xf numFmtId="43" fontId="11" fillId="5" borderId="4" xfId="2" applyFont="1" applyFill="1" applyBorder="1" applyAlignment="1">
      <alignment vertical="center" wrapText="1"/>
    </xf>
    <xf numFmtId="43" fontId="11" fillId="5" borderId="5" xfId="2" applyFont="1" applyFill="1" applyBorder="1" applyAlignment="1">
      <alignment vertical="center" wrapText="1"/>
    </xf>
    <xf numFmtId="43" fontId="11" fillId="5" borderId="5" xfId="2" applyFont="1" applyFill="1" applyBorder="1" applyAlignment="1">
      <alignment vertical="center"/>
    </xf>
    <xf numFmtId="43" fontId="11" fillId="5" borderId="3" xfId="2" applyFont="1" applyFill="1" applyBorder="1" applyAlignment="1">
      <alignment vertical="center"/>
    </xf>
    <xf numFmtId="43" fontId="11" fillId="5" borderId="4" xfId="2" applyFont="1" applyFill="1" applyBorder="1" applyAlignment="1">
      <alignment vertical="center"/>
    </xf>
    <xf numFmtId="43" fontId="10" fillId="5" borderId="1" xfId="2" applyFont="1" applyFill="1" applyBorder="1" applyAlignment="1">
      <alignment horizontal="center" vertical="center"/>
    </xf>
    <xf numFmtId="43" fontId="11" fillId="0" borderId="0" xfId="2" applyFont="1"/>
    <xf numFmtId="0" fontId="10" fillId="5" borderId="4" xfId="0" applyFont="1" applyFill="1" applyBorder="1" applyAlignment="1">
      <alignment horizontal="center" vertical="center" wrapText="1"/>
    </xf>
    <xf numFmtId="0" fontId="11" fillId="5" borderId="4" xfId="1" applyFont="1" applyFill="1" applyBorder="1" applyAlignment="1" applyProtection="1">
      <alignment horizontal="center" vertical="center" wrapText="1"/>
    </xf>
    <xf numFmtId="0" fontId="11" fillId="5" borderId="4" xfId="1" applyFont="1" applyFill="1" applyBorder="1" applyAlignment="1" applyProtection="1">
      <alignment vertical="center" wrapText="1"/>
    </xf>
    <xf numFmtId="0" fontId="10" fillId="8" borderId="4" xfId="1" applyFont="1" applyFill="1" applyBorder="1" applyAlignment="1" applyProtection="1">
      <alignment vertical="center" wrapText="1"/>
    </xf>
    <xf numFmtId="2" fontId="11" fillId="9" borderId="4" xfId="1" applyNumberFormat="1" applyFont="1" applyFill="1" applyBorder="1" applyAlignment="1" applyProtection="1">
      <alignment vertical="center" wrapText="1"/>
    </xf>
    <xf numFmtId="43" fontId="10" fillId="5" borderId="4" xfId="2" applyFont="1" applyFill="1" applyBorder="1" applyAlignment="1">
      <alignment vertical="center" wrapText="1"/>
    </xf>
    <xf numFmtId="0" fontId="10" fillId="5" borderId="5" xfId="1" applyFont="1" applyFill="1" applyBorder="1" applyAlignment="1" applyProtection="1">
      <alignment vertical="center" wrapText="1"/>
    </xf>
    <xf numFmtId="0" fontId="11" fillId="8" borderId="5" xfId="1" applyFont="1" applyFill="1" applyBorder="1" applyAlignment="1" applyProtection="1">
      <alignment vertical="center" wrapText="1"/>
    </xf>
    <xf numFmtId="3" fontId="11" fillId="5" borderId="1" xfId="0" applyNumberFormat="1" applyFont="1" applyFill="1" applyBorder="1" applyAlignment="1">
      <alignment horizontal="center" vertical="center"/>
    </xf>
    <xf numFmtId="0" fontId="11" fillId="8" borderId="4" xfId="1" applyFont="1" applyFill="1" applyBorder="1" applyAlignment="1" applyProtection="1">
      <alignment vertical="center" wrapText="1"/>
    </xf>
    <xf numFmtId="0" fontId="10" fillId="5" borderId="4" xfId="1" applyFont="1" applyFill="1" applyBorder="1" applyAlignment="1" applyProtection="1">
      <alignment vertical="center" wrapText="1"/>
    </xf>
    <xf numFmtId="0" fontId="10" fillId="5" borderId="4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 wrapText="1"/>
    </xf>
    <xf numFmtId="2" fontId="10" fillId="9" borderId="4" xfId="0" applyNumberFormat="1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1" applyFont="1" applyFill="1" applyBorder="1" applyAlignment="1" applyProtection="1">
      <alignment vertical="center" wrapText="1"/>
    </xf>
    <xf numFmtId="0" fontId="16" fillId="5" borderId="3" xfId="0" applyFont="1" applyFill="1" applyBorder="1" applyAlignment="1">
      <alignment vertical="center" wrapText="1"/>
    </xf>
    <xf numFmtId="0" fontId="16" fillId="5" borderId="4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3" borderId="3" xfId="1" applyFont="1" applyFill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4" fontId="2" fillId="3" borderId="3" xfId="0" applyNumberFormat="1" applyFont="1" applyFill="1" applyBorder="1" applyAlignment="1">
      <alignment horizontal="right" vertical="center"/>
    </xf>
    <xf numFmtId="4" fontId="2" fillId="3" borderId="4" xfId="0" applyNumberFormat="1" applyFont="1" applyFill="1" applyBorder="1" applyAlignment="1">
      <alignment horizontal="right" vertical="center"/>
    </xf>
    <xf numFmtId="4" fontId="2" fillId="3" borderId="5" xfId="0" applyNumberFormat="1" applyFont="1" applyFill="1" applyBorder="1" applyAlignment="1">
      <alignment horizontal="right" vertical="center"/>
    </xf>
    <xf numFmtId="2" fontId="3" fillId="3" borderId="3" xfId="0" applyNumberFormat="1" applyFont="1" applyFill="1" applyBorder="1" applyAlignment="1">
      <alignment horizontal="right" vertical="center" wrapText="1"/>
    </xf>
    <xf numFmtId="2" fontId="3" fillId="3" borderId="4" xfId="0" applyNumberFormat="1" applyFont="1" applyFill="1" applyBorder="1" applyAlignment="1">
      <alignment horizontal="right" vertical="center" wrapText="1"/>
    </xf>
    <xf numFmtId="2" fontId="3" fillId="3" borderId="5" xfId="0" applyNumberFormat="1" applyFont="1" applyFill="1" applyBorder="1" applyAlignment="1">
      <alignment horizontal="right" vertical="center" wrapText="1"/>
    </xf>
    <xf numFmtId="2" fontId="3" fillId="0" borderId="3" xfId="0" applyNumberFormat="1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2" fontId="3" fillId="0" borderId="5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vertical="center" wrapText="1"/>
    </xf>
    <xf numFmtId="4" fontId="2" fillId="0" borderId="4" xfId="0" applyNumberFormat="1" applyFont="1" applyBorder="1" applyAlignment="1">
      <alignment vertical="center" wrapText="1"/>
    </xf>
    <xf numFmtId="4" fontId="2" fillId="0" borderId="5" xfId="0" applyNumberFormat="1" applyFont="1" applyBorder="1" applyAlignment="1">
      <alignment vertical="center" wrapText="1"/>
    </xf>
    <xf numFmtId="4" fontId="2" fillId="3" borderId="3" xfId="0" applyNumberFormat="1" applyFont="1" applyFill="1" applyBorder="1" applyAlignment="1">
      <alignment vertical="center" wrapText="1"/>
    </xf>
    <xf numFmtId="4" fontId="2" fillId="3" borderId="4" xfId="0" applyNumberFormat="1" applyFont="1" applyFill="1" applyBorder="1" applyAlignment="1">
      <alignment vertical="center" wrapText="1"/>
    </xf>
    <xf numFmtId="4" fontId="2" fillId="3" borderId="5" xfId="0" applyNumberFormat="1" applyFont="1" applyFill="1" applyBorder="1" applyAlignment="1">
      <alignment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4" fontId="3" fillId="3" borderId="4" xfId="0" applyNumberFormat="1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" fontId="3" fillId="0" borderId="3" xfId="0" applyNumberFormat="1" applyFont="1" applyBorder="1" applyAlignment="1">
      <alignment vertical="center" wrapText="1"/>
    </xf>
    <xf numFmtId="4" fontId="3" fillId="0" borderId="4" xfId="0" applyNumberFormat="1" applyFont="1" applyBorder="1" applyAlignment="1">
      <alignment vertical="center" wrapText="1"/>
    </xf>
    <xf numFmtId="4" fontId="3" fillId="0" borderId="5" xfId="0" applyNumberFormat="1" applyFont="1" applyBorder="1" applyAlignment="1">
      <alignment vertical="center" wrapText="1"/>
    </xf>
    <xf numFmtId="0" fontId="1" fillId="0" borderId="3" xfId="1" applyBorder="1" applyAlignment="1" applyProtection="1">
      <alignment vertical="center" wrapText="1"/>
    </xf>
    <xf numFmtId="0" fontId="1" fillId="0" borderId="5" xfId="1" applyBorder="1" applyAlignment="1" applyProtection="1">
      <alignment vertical="center" wrapText="1"/>
    </xf>
    <xf numFmtId="0" fontId="1" fillId="3" borderId="3" xfId="1" applyFill="1" applyBorder="1" applyAlignment="1" applyProtection="1">
      <alignment vertical="center" wrapText="1"/>
    </xf>
    <xf numFmtId="0" fontId="1" fillId="3" borderId="5" xfId="1" applyFill="1" applyBorder="1" applyAlignment="1" applyProtection="1">
      <alignment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4" fontId="2" fillId="3" borderId="5" xfId="0" applyNumberFormat="1" applyFont="1" applyFill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4" fontId="2" fillId="0" borderId="5" xfId="0" applyNumberFormat="1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3" xfId="1" applyFill="1" applyBorder="1" applyAlignment="1" applyProtection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2" fontId="3" fillId="3" borderId="3" xfId="1" applyNumberFormat="1" applyFont="1" applyFill="1" applyBorder="1" applyAlignment="1" applyProtection="1">
      <alignment horizontal="right" vertical="center" wrapText="1"/>
    </xf>
    <xf numFmtId="2" fontId="3" fillId="3" borderId="4" xfId="1" applyNumberFormat="1" applyFont="1" applyFill="1" applyBorder="1" applyAlignment="1" applyProtection="1">
      <alignment horizontal="right" vertical="center" wrapText="1"/>
    </xf>
    <xf numFmtId="2" fontId="3" fillId="3" borderId="5" xfId="1" applyNumberFormat="1" applyFont="1" applyFill="1" applyBorder="1" applyAlignment="1" applyProtection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2" fontId="2" fillId="3" borderId="3" xfId="0" applyNumberFormat="1" applyFont="1" applyFill="1" applyBorder="1" applyAlignment="1">
      <alignment horizontal="right" vertical="center" wrapText="1"/>
    </xf>
    <xf numFmtId="2" fontId="2" fillId="3" borderId="4" xfId="0" applyNumberFormat="1" applyFont="1" applyFill="1" applyBorder="1" applyAlignment="1">
      <alignment horizontal="right" vertical="center" wrapText="1"/>
    </xf>
    <xf numFmtId="2" fontId="2" fillId="3" borderId="5" xfId="0" applyNumberFormat="1" applyFont="1" applyFill="1" applyBorder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2" fontId="2" fillId="0" borderId="4" xfId="0" applyNumberFormat="1" applyFont="1" applyBorder="1" applyAlignment="1">
      <alignment horizontal="right" vertical="center" wrapText="1"/>
    </xf>
    <xf numFmtId="2" fontId="2" fillId="0" borderId="5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4" fontId="2" fillId="0" borderId="5" xfId="0" applyNumberFormat="1" applyFont="1" applyBorder="1" applyAlignment="1">
      <alignment horizontal="right" vertical="center" wrapText="1"/>
    </xf>
    <xf numFmtId="4" fontId="2" fillId="3" borderId="3" xfId="0" applyNumberFormat="1" applyFont="1" applyFill="1" applyBorder="1" applyAlignment="1">
      <alignment horizontal="right" vertical="center" wrapText="1"/>
    </xf>
    <xf numFmtId="4" fontId="2" fillId="3" borderId="4" xfId="0" applyNumberFormat="1" applyFont="1" applyFill="1" applyBorder="1" applyAlignment="1">
      <alignment horizontal="right" vertical="center" wrapText="1"/>
    </xf>
    <xf numFmtId="4" fontId="2" fillId="3" borderId="5" xfId="0" applyNumberFormat="1" applyFont="1" applyFill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" fontId="3" fillId="3" borderId="3" xfId="0" applyNumberFormat="1" applyFont="1" applyFill="1" applyBorder="1" applyAlignment="1">
      <alignment vertical="center" wrapText="1"/>
    </xf>
    <xf numFmtId="4" fontId="3" fillId="3" borderId="4" xfId="0" applyNumberFormat="1" applyFont="1" applyFill="1" applyBorder="1" applyAlignment="1">
      <alignment vertical="center" wrapText="1"/>
    </xf>
    <xf numFmtId="4" fontId="3" fillId="3" borderId="5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</cellXfs>
  <cellStyles count="4">
    <cellStyle name="Lien hypertexte" xfId="1" builtinId="8"/>
    <cellStyle name="Milliers" xfId="2" builtinId="3"/>
    <cellStyle name="Monétaire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corinnedelporte@orange.fr" TargetMode="External"/><Relationship Id="rId21" Type="http://schemas.openxmlformats.org/officeDocument/2006/relationships/hyperlink" Target="mailto:jasimon57@gmail.com" TargetMode="External"/><Relationship Id="rId42" Type="http://schemas.openxmlformats.org/officeDocument/2006/relationships/hyperlink" Target="mailto:denis.poinsignon@numericable%20,fr" TargetMode="External"/><Relationship Id="rId47" Type="http://schemas.openxmlformats.org/officeDocument/2006/relationships/hyperlink" Target="mailto:danilo.stili@gmail.com" TargetMode="External"/><Relationship Id="rId63" Type="http://schemas.openxmlformats.org/officeDocument/2006/relationships/hyperlink" Target="mailto:jp.ruz@wanadoo.fr" TargetMode="External"/><Relationship Id="rId68" Type="http://schemas.openxmlformats.org/officeDocument/2006/relationships/hyperlink" Target="mailto:salva.battaglieri@hotmail.com" TargetMode="External"/><Relationship Id="rId84" Type="http://schemas.openxmlformats.org/officeDocument/2006/relationships/hyperlink" Target="mailto:jph.eckert@wanadoo.fr" TargetMode="External"/><Relationship Id="rId89" Type="http://schemas.openxmlformats.org/officeDocument/2006/relationships/hyperlink" Target="mailto:agora1834@gmail.com" TargetMode="External"/><Relationship Id="rId112" Type="http://schemas.openxmlformats.org/officeDocument/2006/relationships/hyperlink" Target="mailto:laurent.goutain@gmail.com" TargetMode="External"/><Relationship Id="rId16" Type="http://schemas.openxmlformats.org/officeDocument/2006/relationships/hyperlink" Target="mailto:sinegrejcml@wanadoo.fr" TargetMode="External"/><Relationship Id="rId107" Type="http://schemas.openxmlformats.org/officeDocument/2006/relationships/hyperlink" Target="mailto:matth.mulot@free.fr" TargetMode="External"/><Relationship Id="rId11" Type="http://schemas.openxmlformats.org/officeDocument/2006/relationships/hyperlink" Target="mailto:robert.koquely@laposte.net" TargetMode="External"/><Relationship Id="rId32" Type="http://schemas.openxmlformats.org/officeDocument/2006/relationships/hyperlink" Target="mailto:christianadam22@gmail.com" TargetMode="External"/><Relationship Id="rId37" Type="http://schemas.openxmlformats.org/officeDocument/2006/relationships/hyperlink" Target="mailto:jeabonnin@numericable,fr" TargetMode="External"/><Relationship Id="rId53" Type="http://schemas.openxmlformats.org/officeDocument/2006/relationships/hyperlink" Target="mailto:guidat2@wanadoo.fr" TargetMode="External"/><Relationship Id="rId58" Type="http://schemas.openxmlformats.org/officeDocument/2006/relationships/hyperlink" Target="mailto:vmedls@laposte.net" TargetMode="External"/><Relationship Id="rId74" Type="http://schemas.openxmlformats.org/officeDocument/2006/relationships/hyperlink" Target="mailto:lionel.fourny57@gmail.com" TargetMode="External"/><Relationship Id="rId79" Type="http://schemas.openxmlformats.org/officeDocument/2006/relationships/hyperlink" Target="mailto:dangoumautristan@yahoo.fr" TargetMode="External"/><Relationship Id="rId102" Type="http://schemas.openxmlformats.org/officeDocument/2006/relationships/hyperlink" Target="mailto:daniel.peguero@orange.fr" TargetMode="External"/><Relationship Id="rId5" Type="http://schemas.openxmlformats.org/officeDocument/2006/relationships/hyperlink" Target="mailto:jacques.macarons@free.fr" TargetMode="External"/><Relationship Id="rId90" Type="http://schemas.openxmlformats.org/officeDocument/2006/relationships/hyperlink" Target="mailto:anne.longevialle@gmail.com" TargetMode="External"/><Relationship Id="rId95" Type="http://schemas.openxmlformats.org/officeDocument/2006/relationships/hyperlink" Target="mailto:bervoests@numericable.fr" TargetMode="External"/><Relationship Id="rId22" Type="http://schemas.openxmlformats.org/officeDocument/2006/relationships/hyperlink" Target="mailto:lecharpentier.jl@wanadoo,fr" TargetMode="External"/><Relationship Id="rId27" Type="http://schemas.openxmlformats.org/officeDocument/2006/relationships/hyperlink" Target="mailto:maxime.jolibois@wanadoo.fr" TargetMode="External"/><Relationship Id="rId43" Type="http://schemas.openxmlformats.org/officeDocument/2006/relationships/hyperlink" Target="mailto:acurulla@wanadoo,fr" TargetMode="External"/><Relationship Id="rId48" Type="http://schemas.openxmlformats.org/officeDocument/2006/relationships/hyperlink" Target="mailto:tresorvadm414@laposte.net" TargetMode="External"/><Relationship Id="rId64" Type="http://schemas.openxmlformats.org/officeDocument/2006/relationships/hyperlink" Target="mailto:vene.archealliance1455@gmail.com" TargetMode="External"/><Relationship Id="rId69" Type="http://schemas.openxmlformats.org/officeDocument/2006/relationships/hyperlink" Target="mailto:yvon.quinio911@orange.fr" TargetMode="External"/><Relationship Id="rId113" Type="http://schemas.openxmlformats.org/officeDocument/2006/relationships/printerSettings" Target="../printerSettings/printerSettings8.bin"/><Relationship Id="rId80" Type="http://schemas.openxmlformats.org/officeDocument/2006/relationships/hyperlink" Target="mailto:zv@wanadoo.fr" TargetMode="External"/><Relationship Id="rId85" Type="http://schemas.openxmlformats.org/officeDocument/2006/relationships/hyperlink" Target="mailto:claude.fouillat@wanadoo.fr" TargetMode="External"/><Relationship Id="rId12" Type="http://schemas.openxmlformats.org/officeDocument/2006/relationships/hyperlink" Target="mailto:philippesimon100@gmail.fr" TargetMode="External"/><Relationship Id="rId17" Type="http://schemas.openxmlformats.org/officeDocument/2006/relationships/hyperlink" Target="mailto:jackydmnt@gmail.com" TargetMode="External"/><Relationship Id="rId33" Type="http://schemas.openxmlformats.org/officeDocument/2006/relationships/hyperlink" Target="mailto:eric.sauvage@gmail,com" TargetMode="External"/><Relationship Id="rId38" Type="http://schemas.openxmlformats.org/officeDocument/2006/relationships/hyperlink" Target="mailto:zv@wanadoo,fr" TargetMode="External"/><Relationship Id="rId59" Type="http://schemas.openxmlformats.org/officeDocument/2006/relationships/hyperlink" Target="mailto:jm.cardon@jm2c.fr" TargetMode="External"/><Relationship Id="rId103" Type="http://schemas.openxmlformats.org/officeDocument/2006/relationships/hyperlink" Target="mailto:jp.ruz@wanadoo.fr" TargetMode="External"/><Relationship Id="rId108" Type="http://schemas.openxmlformats.org/officeDocument/2006/relationships/hyperlink" Target="mailto:jythisse@mac.com" TargetMode="External"/><Relationship Id="rId54" Type="http://schemas.openxmlformats.org/officeDocument/2006/relationships/hyperlink" Target="mailto:girard.bernard@yahoo.fr" TargetMode="External"/><Relationship Id="rId70" Type="http://schemas.openxmlformats.org/officeDocument/2006/relationships/hyperlink" Target="mailto:christian.septon@num&#233;ricable.fr" TargetMode="External"/><Relationship Id="rId75" Type="http://schemas.openxmlformats.org/officeDocument/2006/relationships/hyperlink" Target="mailto:jmsoloch@orange.fr" TargetMode="External"/><Relationship Id="rId91" Type="http://schemas.openxmlformats.org/officeDocument/2006/relationships/hyperlink" Target="mailto:toubajosiane@gmail.com" TargetMode="External"/><Relationship Id="rId96" Type="http://schemas.openxmlformats.org/officeDocument/2006/relationships/hyperlink" Target="mailto:paulbonati@gmail.com" TargetMode="External"/><Relationship Id="rId1" Type="http://schemas.openxmlformats.org/officeDocument/2006/relationships/hyperlink" Target="mailto:dominique.becker@laposte.net" TargetMode="External"/><Relationship Id="rId6" Type="http://schemas.openxmlformats.org/officeDocument/2006/relationships/hyperlink" Target="mailto:vm03p@laposte.net" TargetMode="External"/><Relationship Id="rId15" Type="http://schemas.openxmlformats.org/officeDocument/2006/relationships/hyperlink" Target="mailto:greuetjc@numericable.fr" TargetMode="External"/><Relationship Id="rId23" Type="http://schemas.openxmlformats.org/officeDocument/2006/relationships/hyperlink" Target="mailto:corinnedelporte@orange.fr" TargetMode="External"/><Relationship Id="rId28" Type="http://schemas.openxmlformats.org/officeDocument/2006/relationships/hyperlink" Target="mailto:maxime.jolibois@wanadoo.fr" TargetMode="External"/><Relationship Id="rId36" Type="http://schemas.openxmlformats.org/officeDocument/2006/relationships/hyperlink" Target="mailto:andre.iser@live.fr" TargetMode="External"/><Relationship Id="rId49" Type="http://schemas.openxmlformats.org/officeDocument/2006/relationships/hyperlink" Target="mailto:jeanluc.burgain@orange.fr" TargetMode="External"/><Relationship Id="rId57" Type="http://schemas.openxmlformats.org/officeDocument/2006/relationships/hyperlink" Target="mailto:girard.bernard@yahoo.fr" TargetMode="External"/><Relationship Id="rId106" Type="http://schemas.openxmlformats.org/officeDocument/2006/relationships/hyperlink" Target="mailto:artcad.vincent@orange.fr" TargetMode="External"/><Relationship Id="rId10" Type="http://schemas.openxmlformats.org/officeDocument/2006/relationships/hyperlink" Target="mailto:corinnedelporte@orange.fr" TargetMode="External"/><Relationship Id="rId31" Type="http://schemas.openxmlformats.org/officeDocument/2006/relationships/hyperlink" Target="mailto:Jean_luc.pochon@mac.com" TargetMode="External"/><Relationship Id="rId44" Type="http://schemas.openxmlformats.org/officeDocument/2006/relationships/hyperlink" Target="mailto:jcpoiarez@gmail,com" TargetMode="External"/><Relationship Id="rId52" Type="http://schemas.openxmlformats.org/officeDocument/2006/relationships/hyperlink" Target="mailto:gandarp@wanadoo.fr" TargetMode="External"/><Relationship Id="rId60" Type="http://schemas.openxmlformats.org/officeDocument/2006/relationships/hyperlink" Target="mailto:thierrydepoerck@gmail.com" TargetMode="External"/><Relationship Id="rId65" Type="http://schemas.openxmlformats.org/officeDocument/2006/relationships/hyperlink" Target="mailto:lucette.berceaux@wanadoo.fr" TargetMode="External"/><Relationship Id="rId73" Type="http://schemas.openxmlformats.org/officeDocument/2006/relationships/hyperlink" Target="mailto:philippe.maisonneuve88@orange,fr" TargetMode="External"/><Relationship Id="rId78" Type="http://schemas.openxmlformats.org/officeDocument/2006/relationships/hyperlink" Target="mailto:nell5798@wanadoo.fr" TargetMode="External"/><Relationship Id="rId81" Type="http://schemas.openxmlformats.org/officeDocument/2006/relationships/hyperlink" Target="mailto:philippe.delaporte4@wanadoo.fr" TargetMode="External"/><Relationship Id="rId86" Type="http://schemas.openxmlformats.org/officeDocument/2006/relationships/hyperlink" Target="mailto:l.dap@wanadoo.fr" TargetMode="External"/><Relationship Id="rId94" Type="http://schemas.openxmlformats.org/officeDocument/2006/relationships/hyperlink" Target="mailto:christan.alberti65@gmail.com" TargetMode="External"/><Relationship Id="rId99" Type="http://schemas.openxmlformats.org/officeDocument/2006/relationships/hyperlink" Target="mailto:fraucaju@numericable.fr" TargetMode="External"/><Relationship Id="rId101" Type="http://schemas.openxmlformats.org/officeDocument/2006/relationships/hyperlink" Target="mailto:francis.mahou@gmail.com" TargetMode="External"/><Relationship Id="rId4" Type="http://schemas.openxmlformats.org/officeDocument/2006/relationships/hyperlink" Target="mailto:gtan@no-log.org" TargetMode="External"/><Relationship Id="rId9" Type="http://schemas.openxmlformats.org/officeDocument/2006/relationships/hyperlink" Target="mailto:stephane.goullet@lorex.fr" TargetMode="External"/><Relationship Id="rId13" Type="http://schemas.openxmlformats.org/officeDocument/2006/relationships/hyperlink" Target="mailto:andre.magar@orange.fr" TargetMode="External"/><Relationship Id="rId18" Type="http://schemas.openxmlformats.org/officeDocument/2006/relationships/hyperlink" Target="mailto:patrick.menard48@orange.fr" TargetMode="External"/><Relationship Id="rId39" Type="http://schemas.openxmlformats.org/officeDocument/2006/relationships/hyperlink" Target="mailto:pjgt@me,com" TargetMode="External"/><Relationship Id="rId109" Type="http://schemas.openxmlformats.org/officeDocument/2006/relationships/hyperlink" Target="mailto:micheline.cal@numericable.fr" TargetMode="External"/><Relationship Id="rId34" Type="http://schemas.openxmlformats.org/officeDocument/2006/relationships/hyperlink" Target="mailto:pierre.wetzel@laposte.net" TargetMode="External"/><Relationship Id="rId50" Type="http://schemas.openxmlformats.org/officeDocument/2006/relationships/hyperlink" Target="mailto:zv@wanadoo.fr" TargetMode="External"/><Relationship Id="rId55" Type="http://schemas.openxmlformats.org/officeDocument/2006/relationships/hyperlink" Target="mailto:p.salvino@groupesalvino.fr" TargetMode="External"/><Relationship Id="rId76" Type="http://schemas.openxmlformats.org/officeDocument/2006/relationships/hyperlink" Target="mailto:c.kainz@orange.fr" TargetMode="External"/><Relationship Id="rId97" Type="http://schemas.openxmlformats.org/officeDocument/2006/relationships/hyperlink" Target="mailto:pjgt@me,com" TargetMode="External"/><Relationship Id="rId104" Type="http://schemas.openxmlformats.org/officeDocument/2006/relationships/hyperlink" Target="mailto:evelyne@masius,info" TargetMode="External"/><Relationship Id="rId7" Type="http://schemas.openxmlformats.org/officeDocument/2006/relationships/hyperlink" Target="mailto:tresor03p@laposte.net" TargetMode="External"/><Relationship Id="rId71" Type="http://schemas.openxmlformats.org/officeDocument/2006/relationships/hyperlink" Target="mailto:bervoests@numericable.fr" TargetMode="External"/><Relationship Id="rId92" Type="http://schemas.openxmlformats.org/officeDocument/2006/relationships/hyperlink" Target="mailto:zv@wanadoo.fr" TargetMode="External"/><Relationship Id="rId2" Type="http://schemas.openxmlformats.org/officeDocument/2006/relationships/hyperlink" Target="mailto:bernard.marc.wirth@wanadoo.fr" TargetMode="External"/><Relationship Id="rId29" Type="http://schemas.openxmlformats.org/officeDocument/2006/relationships/hyperlink" Target="mailto:Jean_luc.pochon@mac.com" TargetMode="External"/><Relationship Id="rId24" Type="http://schemas.openxmlformats.org/officeDocument/2006/relationships/hyperlink" Target="mailto:c.kainz@orange.fr" TargetMode="External"/><Relationship Id="rId40" Type="http://schemas.openxmlformats.org/officeDocument/2006/relationships/hyperlink" Target="mailto:dalstein.gilbert@wanadoo.fr" TargetMode="External"/><Relationship Id="rId45" Type="http://schemas.openxmlformats.org/officeDocument/2006/relationships/hyperlink" Target="mailto:p.salvino@groupesalvino.fr" TargetMode="External"/><Relationship Id="rId66" Type="http://schemas.openxmlformats.org/officeDocument/2006/relationships/hyperlink" Target="mailto:claudiescy@orange,fr" TargetMode="External"/><Relationship Id="rId87" Type="http://schemas.openxmlformats.org/officeDocument/2006/relationships/hyperlink" Target="mailto:corinnedelporte@orange.fr" TargetMode="External"/><Relationship Id="rId110" Type="http://schemas.openxmlformats.org/officeDocument/2006/relationships/hyperlink" Target="mailto:theobald.adriana@free.fr" TargetMode="External"/><Relationship Id="rId61" Type="http://schemas.openxmlformats.org/officeDocument/2006/relationships/hyperlink" Target="mailto:thierryzins@orange.fr" TargetMode="External"/><Relationship Id="rId82" Type="http://schemas.openxmlformats.org/officeDocument/2006/relationships/hyperlink" Target="mailto:renaudpi@aol.com" TargetMode="External"/><Relationship Id="rId19" Type="http://schemas.openxmlformats.org/officeDocument/2006/relationships/hyperlink" Target="mailto:grivelxavier@gmail.com" TargetMode="External"/><Relationship Id="rId14" Type="http://schemas.openxmlformats.org/officeDocument/2006/relationships/hyperlink" Target="mailto:gautrotge@numericable.fr" TargetMode="External"/><Relationship Id="rId30" Type="http://schemas.openxmlformats.org/officeDocument/2006/relationships/hyperlink" Target="mailto:jecombelles@wanadoo.fr" TargetMode="External"/><Relationship Id="rId35" Type="http://schemas.openxmlformats.org/officeDocument/2006/relationships/hyperlink" Target="mailto:esra.tresorier@orange.fr" TargetMode="External"/><Relationship Id="rId56" Type="http://schemas.openxmlformats.org/officeDocument/2006/relationships/hyperlink" Target="mailto:chapitre.inigo.jones@gmail.com" TargetMode="External"/><Relationship Id="rId77" Type="http://schemas.openxmlformats.org/officeDocument/2006/relationships/hyperlink" Target="mailto:ghibl@numericable.fr" TargetMode="External"/><Relationship Id="rId100" Type="http://schemas.openxmlformats.org/officeDocument/2006/relationships/hyperlink" Target="mailto:lucette.berceaux@wanadoo.fr" TargetMode="External"/><Relationship Id="rId105" Type="http://schemas.openxmlformats.org/officeDocument/2006/relationships/hyperlink" Target="mailto:marie-claude@valdenaire.org" TargetMode="External"/><Relationship Id="rId8" Type="http://schemas.openxmlformats.org/officeDocument/2006/relationships/hyperlink" Target="mailto:guy.vignard@neuf.fr" TargetMode="External"/><Relationship Id="rId51" Type="http://schemas.openxmlformats.org/officeDocument/2006/relationships/hyperlink" Target="mailto:patrice.wintzenrieth@gmail.com" TargetMode="External"/><Relationship Id="rId72" Type="http://schemas.openxmlformats.org/officeDocument/2006/relationships/hyperlink" Target="mailto:serge.berceville@free.fr" TargetMode="External"/><Relationship Id="rId93" Type="http://schemas.openxmlformats.org/officeDocument/2006/relationships/hyperlink" Target="mailto:zv@wanadoo.fr" TargetMode="External"/><Relationship Id="rId98" Type="http://schemas.openxmlformats.org/officeDocument/2006/relationships/hyperlink" Target="mailto:fraucaju@numericable.fr" TargetMode="External"/><Relationship Id="rId3" Type="http://schemas.openxmlformats.org/officeDocument/2006/relationships/hyperlink" Target="mailto:jcpaquet@aol.com" TargetMode="External"/><Relationship Id="rId25" Type="http://schemas.openxmlformats.org/officeDocument/2006/relationships/hyperlink" Target="mailto:lucette.berceaux@wanadoo.fr" TargetMode="External"/><Relationship Id="rId46" Type="http://schemas.openxmlformats.org/officeDocument/2006/relationships/hyperlink" Target="mailto:jocelyn.villard@gmail,com" TargetMode="External"/><Relationship Id="rId67" Type="http://schemas.openxmlformats.org/officeDocument/2006/relationships/hyperlink" Target="mailto:sylviegauthier57@free.fr" TargetMode="External"/><Relationship Id="rId20" Type="http://schemas.openxmlformats.org/officeDocument/2006/relationships/hyperlink" Target="mailto:jasimon57@gmail.com" TargetMode="External"/><Relationship Id="rId41" Type="http://schemas.openxmlformats.org/officeDocument/2006/relationships/hyperlink" Target="mailto:3p@courtage-favier,fr" TargetMode="External"/><Relationship Id="rId62" Type="http://schemas.openxmlformats.org/officeDocument/2006/relationships/hyperlink" Target="mailto:d-schmitt.perso@wanadoo.fr" TargetMode="External"/><Relationship Id="rId83" Type="http://schemas.openxmlformats.org/officeDocument/2006/relationships/hyperlink" Target="mailto:bernard.montinet@gmail.com" TargetMode="External"/><Relationship Id="rId88" Type="http://schemas.openxmlformats.org/officeDocument/2006/relationships/hyperlink" Target="mailto:gerard.sautre@wanadoo,fr" TargetMode="External"/><Relationship Id="rId111" Type="http://schemas.openxmlformats.org/officeDocument/2006/relationships/hyperlink" Target="mailto:denisperbal@hot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6137-4B1C-44CD-93AB-3496E14C79D1}">
  <sheetPr>
    <pageSetUpPr fitToPage="1"/>
  </sheetPr>
  <dimension ref="A2:N54"/>
  <sheetViews>
    <sheetView topLeftCell="A33" zoomScale="120" zoomScaleNormal="120" workbookViewId="0">
      <selection activeCell="J57" sqref="J57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hidden="1" customWidth="1"/>
    <col min="5" max="5" width="9.21875" style="82" hidden="1" customWidth="1"/>
    <col min="6" max="7" width="9.21875" style="52" hidden="1" customWidth="1"/>
    <col min="8" max="9" width="9.21875" style="52" customWidth="1"/>
    <col min="10" max="10" width="9.21875" style="41" customWidth="1"/>
    <col min="11" max="11" width="9.21875" style="52" customWidth="1"/>
    <col min="12" max="12" width="13" style="162" customWidth="1"/>
    <col min="13" max="13" width="11.6640625" style="52" bestFit="1" customWidth="1"/>
    <col min="14" max="16384" width="10.6640625" style="52"/>
  </cols>
  <sheetData>
    <row r="2" spans="1:13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55" t="s">
        <v>338</v>
      </c>
      <c r="I2" s="55" t="s">
        <v>340</v>
      </c>
      <c r="J2" s="145" t="s">
        <v>344</v>
      </c>
      <c r="K2" s="46" t="s">
        <v>14</v>
      </c>
      <c r="L2" s="154" t="s">
        <v>341</v>
      </c>
    </row>
    <row r="3" spans="1:13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11">
        <v>74</v>
      </c>
      <c r="I3" s="111">
        <v>72</v>
      </c>
      <c r="J3" s="182">
        <v>73</v>
      </c>
      <c r="K3" s="139">
        <v>85</v>
      </c>
      <c r="L3" s="155">
        <f t="shared" ref="L3:L52" si="0">+J3*K3</f>
        <v>6205</v>
      </c>
    </row>
    <row r="4" spans="1:13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14">
        <v>60</v>
      </c>
      <c r="I4" s="114">
        <v>60</v>
      </c>
      <c r="J4" s="183">
        <v>60</v>
      </c>
      <c r="K4" s="140">
        <v>85</v>
      </c>
      <c r="L4" s="156">
        <f t="shared" si="0"/>
        <v>5100</v>
      </c>
    </row>
    <row r="5" spans="1:13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17">
        <v>48</v>
      </c>
      <c r="I5" s="114">
        <v>50</v>
      </c>
      <c r="J5" s="147">
        <v>49</v>
      </c>
      <c r="K5" s="141">
        <v>85</v>
      </c>
      <c r="L5" s="157">
        <f t="shared" si="0"/>
        <v>4165</v>
      </c>
    </row>
    <row r="6" spans="1:13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11">
        <v>51</v>
      </c>
      <c r="I6" s="111">
        <v>46</v>
      </c>
      <c r="J6" s="146">
        <v>46</v>
      </c>
      <c r="K6" s="139">
        <v>85</v>
      </c>
      <c r="L6" s="155">
        <f t="shared" si="0"/>
        <v>3910</v>
      </c>
    </row>
    <row r="7" spans="1:13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14">
        <f>63-6</f>
        <v>57</v>
      </c>
      <c r="I7" s="114">
        <v>60</v>
      </c>
      <c r="J7" s="177">
        <v>63</v>
      </c>
      <c r="K7" s="140">
        <v>85</v>
      </c>
      <c r="L7" s="156">
        <f t="shared" si="0"/>
        <v>5355</v>
      </c>
      <c r="M7" s="110"/>
    </row>
    <row r="8" spans="1:13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14">
        <v>21</v>
      </c>
      <c r="I8" s="114">
        <v>26</v>
      </c>
      <c r="J8" s="177">
        <v>24</v>
      </c>
      <c r="K8" s="140">
        <v>85</v>
      </c>
      <c r="L8" s="156">
        <f t="shared" si="0"/>
        <v>2040</v>
      </c>
    </row>
    <row r="9" spans="1:13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17">
        <v>35</v>
      </c>
      <c r="I9" s="117">
        <v>37</v>
      </c>
      <c r="J9" s="184">
        <v>38</v>
      </c>
      <c r="K9" s="141">
        <v>85</v>
      </c>
      <c r="L9" s="157">
        <f t="shared" si="0"/>
        <v>3230</v>
      </c>
    </row>
    <row r="10" spans="1:13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76">
        <v>32</v>
      </c>
      <c r="I10" s="111">
        <v>30</v>
      </c>
      <c r="J10" s="185">
        <v>31</v>
      </c>
      <c r="K10" s="139">
        <v>85</v>
      </c>
      <c r="L10" s="155">
        <f t="shared" si="0"/>
        <v>2635</v>
      </c>
    </row>
    <row r="11" spans="1:13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60">
        <v>40</v>
      </c>
      <c r="I11" s="60">
        <v>36</v>
      </c>
      <c r="J11" s="177">
        <v>37</v>
      </c>
      <c r="K11" s="140">
        <v>85</v>
      </c>
      <c r="L11" s="156">
        <f t="shared" si="0"/>
        <v>3145</v>
      </c>
    </row>
    <row r="12" spans="1:13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17">
        <v>23</v>
      </c>
      <c r="I12" s="117">
        <v>24</v>
      </c>
      <c r="J12" s="178">
        <v>25</v>
      </c>
      <c r="K12" s="141">
        <v>85</v>
      </c>
      <c r="L12" s="158">
        <f t="shared" si="0"/>
        <v>2125</v>
      </c>
    </row>
    <row r="13" spans="1:13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11">
        <f>32-11</f>
        <v>21</v>
      </c>
      <c r="I13" s="111">
        <v>23</v>
      </c>
      <c r="J13" s="179">
        <v>24</v>
      </c>
      <c r="K13" s="139">
        <v>85</v>
      </c>
      <c r="L13" s="159">
        <f t="shared" si="0"/>
        <v>2040</v>
      </c>
    </row>
    <row r="14" spans="1:13" s="110" customFormat="1" ht="15" customHeight="1" x14ac:dyDescent="0.25">
      <c r="B14" s="122">
        <v>411012</v>
      </c>
      <c r="C14" s="114" t="s">
        <v>31</v>
      </c>
      <c r="D14" s="115">
        <v>14</v>
      </c>
      <c r="E14" s="115">
        <v>44</v>
      </c>
      <c r="F14" s="114">
        <v>46</v>
      </c>
      <c r="G14" s="114">
        <v>47</v>
      </c>
      <c r="H14" s="60">
        <v>48</v>
      </c>
      <c r="I14" s="60">
        <v>49</v>
      </c>
      <c r="J14" s="177">
        <v>47</v>
      </c>
      <c r="K14" s="140">
        <v>22.8</v>
      </c>
      <c r="L14" s="160">
        <f t="shared" si="0"/>
        <v>1071.6000000000001</v>
      </c>
    </row>
    <row r="15" spans="1:13" s="110" customFormat="1" ht="15" customHeight="1" x14ac:dyDescent="0.25">
      <c r="B15" s="117">
        <v>411013</v>
      </c>
      <c r="C15" s="117" t="s">
        <v>32</v>
      </c>
      <c r="D15" s="118">
        <v>39</v>
      </c>
      <c r="E15" s="118">
        <v>38</v>
      </c>
      <c r="F15" s="117">
        <v>42</v>
      </c>
      <c r="G15" s="138">
        <v>45</v>
      </c>
      <c r="H15" s="117">
        <v>40</v>
      </c>
      <c r="I15" s="117">
        <v>36</v>
      </c>
      <c r="J15" s="178">
        <v>38</v>
      </c>
      <c r="K15" s="140">
        <v>22.8</v>
      </c>
      <c r="L15" s="158">
        <f t="shared" si="0"/>
        <v>866.4</v>
      </c>
    </row>
    <row r="16" spans="1:13" s="110" customFormat="1" ht="15" customHeight="1" x14ac:dyDescent="0.25">
      <c r="B16" s="111">
        <v>411014</v>
      </c>
      <c r="C16" s="111" t="s">
        <v>33</v>
      </c>
      <c r="D16" s="112">
        <v>26</v>
      </c>
      <c r="E16" s="112">
        <v>29</v>
      </c>
      <c r="F16" s="111">
        <v>33</v>
      </c>
      <c r="G16" s="136">
        <v>42</v>
      </c>
      <c r="H16" s="76">
        <v>43</v>
      </c>
      <c r="I16" s="76">
        <v>42</v>
      </c>
      <c r="J16" s="179">
        <v>32</v>
      </c>
      <c r="K16" s="140">
        <v>22.8</v>
      </c>
      <c r="L16" s="159">
        <f t="shared" si="0"/>
        <v>729.6</v>
      </c>
    </row>
    <row r="17" spans="1:13" s="110" customFormat="1" ht="15" customHeight="1" x14ac:dyDescent="0.25">
      <c r="B17" s="114">
        <v>411015</v>
      </c>
      <c r="C17" s="114" t="s">
        <v>34</v>
      </c>
      <c r="D17" s="115">
        <v>24</v>
      </c>
      <c r="E17" s="115">
        <v>24</v>
      </c>
      <c r="F17" s="114">
        <v>24</v>
      </c>
      <c r="G17" s="137">
        <v>23</v>
      </c>
      <c r="H17" s="60">
        <v>24</v>
      </c>
      <c r="I17" s="60">
        <v>25</v>
      </c>
      <c r="J17" s="186">
        <v>26</v>
      </c>
      <c r="K17" s="140">
        <v>22.8</v>
      </c>
      <c r="L17" s="160">
        <f t="shared" si="0"/>
        <v>592.80000000000007</v>
      </c>
    </row>
    <row r="18" spans="1:13" s="110" customFormat="1" ht="15" customHeight="1" x14ac:dyDescent="0.25">
      <c r="B18" s="127">
        <v>411016</v>
      </c>
      <c r="C18" s="117" t="s">
        <v>35</v>
      </c>
      <c r="D18" s="118">
        <v>37</v>
      </c>
      <c r="E18" s="118">
        <v>36</v>
      </c>
      <c r="F18" s="117">
        <v>31</v>
      </c>
      <c r="G18" s="117">
        <v>28</v>
      </c>
      <c r="H18" s="63">
        <v>29</v>
      </c>
      <c r="I18" s="63">
        <v>29</v>
      </c>
      <c r="J18" s="178">
        <v>31</v>
      </c>
      <c r="K18" s="140">
        <v>22.8</v>
      </c>
      <c r="L18" s="158">
        <f t="shared" si="0"/>
        <v>706.80000000000007</v>
      </c>
    </row>
    <row r="19" spans="1:13" s="110" customFormat="1" ht="15" customHeight="1" x14ac:dyDescent="0.25">
      <c r="B19" s="120">
        <v>411017</v>
      </c>
      <c r="C19" s="111" t="s">
        <v>36</v>
      </c>
      <c r="D19" s="112">
        <v>25</v>
      </c>
      <c r="E19" s="112">
        <v>29</v>
      </c>
      <c r="F19" s="111">
        <v>25</v>
      </c>
      <c r="G19" s="136">
        <v>25</v>
      </c>
      <c r="H19" s="111">
        <v>23</v>
      </c>
      <c r="I19" s="111">
        <v>26</v>
      </c>
      <c r="J19" s="179">
        <v>27</v>
      </c>
      <c r="K19" s="140">
        <v>22.8</v>
      </c>
      <c r="L19" s="159">
        <f t="shared" si="0"/>
        <v>615.6</v>
      </c>
    </row>
    <row r="20" spans="1:13" s="110" customFormat="1" ht="15" customHeight="1" x14ac:dyDescent="0.25">
      <c r="B20" s="122">
        <v>411018</v>
      </c>
      <c r="C20" s="114" t="s">
        <v>37</v>
      </c>
      <c r="D20" s="115">
        <v>36</v>
      </c>
      <c r="E20" s="115">
        <v>36</v>
      </c>
      <c r="F20" s="114">
        <v>36</v>
      </c>
      <c r="G20" s="114">
        <v>37</v>
      </c>
      <c r="H20" s="114">
        <v>36</v>
      </c>
      <c r="I20" s="114">
        <v>32</v>
      </c>
      <c r="J20" s="177">
        <v>37</v>
      </c>
      <c r="K20" s="140">
        <v>85</v>
      </c>
      <c r="L20" s="156">
        <f t="shared" si="0"/>
        <v>3145</v>
      </c>
      <c r="M20" s="110" t="s">
        <v>233</v>
      </c>
    </row>
    <row r="21" spans="1:13" s="110" customFormat="1" ht="15" customHeight="1" x14ac:dyDescent="0.25">
      <c r="B21" s="127">
        <v>411019</v>
      </c>
      <c r="C21" s="117" t="s">
        <v>38</v>
      </c>
      <c r="D21" s="118">
        <v>22</v>
      </c>
      <c r="E21" s="118">
        <v>23</v>
      </c>
      <c r="F21" s="117">
        <v>24</v>
      </c>
      <c r="G21" s="138">
        <v>25</v>
      </c>
      <c r="H21" s="117">
        <v>26</v>
      </c>
      <c r="I21" s="117">
        <v>26</v>
      </c>
      <c r="J21" s="184">
        <v>27</v>
      </c>
      <c r="K21" s="141">
        <v>85</v>
      </c>
      <c r="L21" s="157">
        <f t="shared" si="0"/>
        <v>2295</v>
      </c>
    </row>
    <row r="22" spans="1:13" s="110" customFormat="1" ht="15" customHeight="1" x14ac:dyDescent="0.25">
      <c r="B22" s="120">
        <v>411020</v>
      </c>
      <c r="C22" s="111" t="s">
        <v>39</v>
      </c>
      <c r="D22" s="112">
        <v>25</v>
      </c>
      <c r="E22" s="112">
        <v>23</v>
      </c>
      <c r="F22" s="111">
        <v>16</v>
      </c>
      <c r="G22" s="111">
        <v>17</v>
      </c>
      <c r="H22" s="111">
        <v>18</v>
      </c>
      <c r="I22" s="111">
        <v>20</v>
      </c>
      <c r="J22" s="179">
        <v>22</v>
      </c>
      <c r="K22" s="139">
        <v>85</v>
      </c>
      <c r="L22" s="155">
        <f t="shared" si="0"/>
        <v>1870</v>
      </c>
      <c r="M22" s="129"/>
    </row>
    <row r="23" spans="1:13" s="110" customFormat="1" ht="15" customHeight="1" x14ac:dyDescent="0.25">
      <c r="B23" s="114">
        <v>411021</v>
      </c>
      <c r="C23" s="114" t="s">
        <v>40</v>
      </c>
      <c r="D23" s="115">
        <v>41</v>
      </c>
      <c r="E23" s="115">
        <v>40</v>
      </c>
      <c r="F23" s="114">
        <v>39</v>
      </c>
      <c r="G23" s="137">
        <v>41</v>
      </c>
      <c r="H23" s="114">
        <v>35</v>
      </c>
      <c r="I23" s="114">
        <v>36</v>
      </c>
      <c r="J23" s="186">
        <v>37</v>
      </c>
      <c r="K23" s="140">
        <v>22.8</v>
      </c>
      <c r="L23" s="160">
        <f t="shared" si="0"/>
        <v>843.6</v>
      </c>
    </row>
    <row r="24" spans="1:13" s="110" customFormat="1" ht="15" customHeight="1" x14ac:dyDescent="0.25">
      <c r="B24" s="117">
        <v>411022</v>
      </c>
      <c r="C24" s="117" t="s">
        <v>41</v>
      </c>
      <c r="D24" s="118">
        <v>9</v>
      </c>
      <c r="E24" s="118">
        <v>9</v>
      </c>
      <c r="F24" s="117">
        <v>9</v>
      </c>
      <c r="G24" s="117">
        <v>10</v>
      </c>
      <c r="H24" s="117">
        <v>10</v>
      </c>
      <c r="I24" s="117">
        <v>10</v>
      </c>
      <c r="J24" s="178">
        <v>11</v>
      </c>
      <c r="K24" s="140">
        <v>22.8</v>
      </c>
      <c r="L24" s="158">
        <f t="shared" si="0"/>
        <v>250.8</v>
      </c>
    </row>
    <row r="25" spans="1:13" s="110" customFormat="1" ht="15" customHeight="1" x14ac:dyDescent="0.25">
      <c r="B25" s="111">
        <v>411023</v>
      </c>
      <c r="C25" s="111" t="s">
        <v>329</v>
      </c>
      <c r="D25" s="112">
        <v>13</v>
      </c>
      <c r="E25" s="112">
        <v>13</v>
      </c>
      <c r="F25" s="111">
        <v>11</v>
      </c>
      <c r="G25" s="136">
        <v>12</v>
      </c>
      <c r="H25" s="111">
        <v>14</v>
      </c>
      <c r="I25" s="111">
        <v>15</v>
      </c>
      <c r="J25" s="179">
        <v>42</v>
      </c>
      <c r="K25" s="140">
        <v>22.8</v>
      </c>
      <c r="L25" s="159">
        <f t="shared" si="0"/>
        <v>957.6</v>
      </c>
      <c r="M25" s="110" t="s">
        <v>22</v>
      </c>
    </row>
    <row r="26" spans="1:13" s="110" customFormat="1" ht="15" customHeight="1" x14ac:dyDescent="0.25">
      <c r="B26" s="114">
        <v>411025</v>
      </c>
      <c r="C26" s="114" t="s">
        <v>43</v>
      </c>
      <c r="D26" s="115">
        <v>49</v>
      </c>
      <c r="E26" s="115">
        <v>47</v>
      </c>
      <c r="F26" s="114">
        <v>45</v>
      </c>
      <c r="G26" s="137">
        <v>43</v>
      </c>
      <c r="H26" s="114">
        <v>32</v>
      </c>
      <c r="I26" s="114">
        <v>35</v>
      </c>
      <c r="J26" s="177">
        <v>39</v>
      </c>
      <c r="K26" s="140">
        <v>85</v>
      </c>
      <c r="L26" s="160">
        <f t="shared" si="0"/>
        <v>3315</v>
      </c>
    </row>
    <row r="27" spans="1:13" s="110" customFormat="1" ht="15" customHeight="1" x14ac:dyDescent="0.25">
      <c r="B27" s="117">
        <v>411026</v>
      </c>
      <c r="C27" s="117" t="s">
        <v>44</v>
      </c>
      <c r="D27" s="118">
        <v>25</v>
      </c>
      <c r="E27" s="118">
        <v>24</v>
      </c>
      <c r="F27" s="117">
        <v>24</v>
      </c>
      <c r="G27" s="117">
        <v>25</v>
      </c>
      <c r="H27" s="117">
        <v>25</v>
      </c>
      <c r="I27" s="117">
        <v>25</v>
      </c>
      <c r="J27" s="178">
        <v>25</v>
      </c>
      <c r="K27" s="141">
        <v>85</v>
      </c>
      <c r="L27" s="158">
        <f t="shared" si="0"/>
        <v>2125</v>
      </c>
    </row>
    <row r="28" spans="1:13" s="92" customFormat="1" ht="18.45" customHeight="1" x14ac:dyDescent="0.25">
      <c r="A28" s="110"/>
      <c r="B28" s="114">
        <v>411027</v>
      </c>
      <c r="C28" s="114" t="s">
        <v>45</v>
      </c>
      <c r="D28" s="115">
        <v>39</v>
      </c>
      <c r="E28" s="115">
        <v>25</v>
      </c>
      <c r="F28" s="114">
        <v>18</v>
      </c>
      <c r="G28" s="137">
        <v>20</v>
      </c>
      <c r="H28" s="114">
        <v>23</v>
      </c>
      <c r="I28" s="114">
        <v>25</v>
      </c>
      <c r="J28" s="186">
        <v>26</v>
      </c>
      <c r="K28" s="140">
        <v>85</v>
      </c>
      <c r="L28" s="160">
        <f t="shared" si="0"/>
        <v>2210</v>
      </c>
      <c r="M28" s="110"/>
    </row>
    <row r="29" spans="1:13" s="110" customFormat="1" ht="15" customHeight="1" x14ac:dyDescent="0.25">
      <c r="B29" s="111">
        <v>411028</v>
      </c>
      <c r="C29" s="111" t="s">
        <v>46</v>
      </c>
      <c r="D29" s="112">
        <v>38</v>
      </c>
      <c r="E29" s="112">
        <v>37</v>
      </c>
      <c r="F29" s="111">
        <v>37</v>
      </c>
      <c r="G29" s="136">
        <v>39</v>
      </c>
      <c r="H29" s="111">
        <v>37</v>
      </c>
      <c r="I29" s="111">
        <v>33</v>
      </c>
      <c r="J29" s="179">
        <v>34</v>
      </c>
      <c r="K29" s="139">
        <v>85</v>
      </c>
      <c r="L29" s="159">
        <f t="shared" si="0"/>
        <v>2890</v>
      </c>
    </row>
    <row r="30" spans="1:13" s="110" customFormat="1" ht="15" customHeight="1" x14ac:dyDescent="0.25">
      <c r="B30" s="114">
        <v>411029</v>
      </c>
      <c r="C30" s="114" t="s">
        <v>47</v>
      </c>
      <c r="D30" s="115">
        <v>42</v>
      </c>
      <c r="E30" s="115">
        <v>41</v>
      </c>
      <c r="F30" s="114">
        <v>38</v>
      </c>
      <c r="G30" s="137">
        <v>39</v>
      </c>
      <c r="H30" s="114">
        <f>26+13</f>
        <v>39</v>
      </c>
      <c r="I30" s="60">
        <v>39</v>
      </c>
      <c r="J30" s="177">
        <v>39</v>
      </c>
      <c r="K30" s="140">
        <v>22.8</v>
      </c>
      <c r="L30" s="160">
        <f t="shared" si="0"/>
        <v>889.2</v>
      </c>
    </row>
    <row r="31" spans="1:13" s="110" customFormat="1" ht="15" customHeight="1" x14ac:dyDescent="0.25">
      <c r="B31" s="117">
        <v>411030</v>
      </c>
      <c r="C31" s="117" t="s">
        <v>48</v>
      </c>
      <c r="D31" s="118">
        <v>23</v>
      </c>
      <c r="E31" s="118">
        <v>19</v>
      </c>
      <c r="F31" s="117">
        <v>19</v>
      </c>
      <c r="G31" s="117">
        <v>20</v>
      </c>
      <c r="H31" s="63">
        <v>21</v>
      </c>
      <c r="I31" s="63">
        <v>22</v>
      </c>
      <c r="J31" s="184">
        <v>23</v>
      </c>
      <c r="K31" s="140">
        <v>22.8</v>
      </c>
      <c r="L31" s="158">
        <f t="shared" si="0"/>
        <v>524.4</v>
      </c>
    </row>
    <row r="32" spans="1:13" s="110" customFormat="1" ht="15" customHeight="1" x14ac:dyDescent="0.25">
      <c r="B32" s="111">
        <v>411031</v>
      </c>
      <c r="C32" s="111"/>
      <c r="D32" s="112"/>
      <c r="E32" s="112"/>
      <c r="F32" s="112"/>
      <c r="G32" s="112"/>
      <c r="H32" s="112"/>
      <c r="I32" s="112"/>
      <c r="J32" s="180"/>
      <c r="K32" s="139"/>
      <c r="L32" s="159">
        <f t="shared" si="0"/>
        <v>0</v>
      </c>
    </row>
    <row r="33" spans="2:12" s="110" customFormat="1" ht="15" customHeight="1" x14ac:dyDescent="0.25">
      <c r="B33" s="114">
        <v>411032</v>
      </c>
      <c r="C33" s="114" t="s">
        <v>50</v>
      </c>
      <c r="D33" s="115">
        <v>22</v>
      </c>
      <c r="E33" s="115">
        <v>21</v>
      </c>
      <c r="F33" s="114">
        <v>24</v>
      </c>
      <c r="G33" s="137">
        <v>24</v>
      </c>
      <c r="H33" s="60">
        <v>25</v>
      </c>
      <c r="I33" s="114">
        <v>26</v>
      </c>
      <c r="J33" s="177">
        <v>40</v>
      </c>
      <c r="K33" s="140">
        <v>22.8</v>
      </c>
      <c r="L33" s="160">
        <f t="shared" si="0"/>
        <v>912</v>
      </c>
    </row>
    <row r="34" spans="2:12" s="110" customFormat="1" ht="15" customHeight="1" x14ac:dyDescent="0.25">
      <c r="B34" s="117">
        <v>411033</v>
      </c>
      <c r="C34" s="117" t="s">
        <v>51</v>
      </c>
      <c r="D34" s="118">
        <v>37</v>
      </c>
      <c r="E34" s="118">
        <v>36</v>
      </c>
      <c r="F34" s="117">
        <v>33</v>
      </c>
      <c r="G34" s="138">
        <v>29</v>
      </c>
      <c r="H34" s="117">
        <v>31</v>
      </c>
      <c r="I34" s="117">
        <v>36</v>
      </c>
      <c r="J34" s="178">
        <v>38</v>
      </c>
      <c r="K34" s="141">
        <v>85</v>
      </c>
      <c r="L34" s="158">
        <f t="shared" si="0"/>
        <v>3230</v>
      </c>
    </row>
    <row r="35" spans="2:12" s="110" customFormat="1" ht="15" customHeight="1" x14ac:dyDescent="0.25">
      <c r="B35" s="111">
        <v>411034</v>
      </c>
      <c r="C35" s="111" t="s">
        <v>52</v>
      </c>
      <c r="D35" s="112">
        <v>20</v>
      </c>
      <c r="E35" s="112">
        <v>20</v>
      </c>
      <c r="F35" s="111">
        <v>15</v>
      </c>
      <c r="G35" s="111">
        <v>18</v>
      </c>
      <c r="H35" s="76">
        <v>19</v>
      </c>
      <c r="I35" s="111">
        <v>17</v>
      </c>
      <c r="J35" s="179">
        <v>14</v>
      </c>
      <c r="K35" s="139">
        <v>85</v>
      </c>
      <c r="L35" s="159">
        <f t="shared" si="0"/>
        <v>1190</v>
      </c>
    </row>
    <row r="36" spans="2:12" s="110" customFormat="1" ht="15" customHeight="1" x14ac:dyDescent="0.25">
      <c r="B36" s="114">
        <v>411035</v>
      </c>
      <c r="C36" s="114" t="s">
        <v>53</v>
      </c>
      <c r="D36" s="115">
        <v>24</v>
      </c>
      <c r="E36" s="115">
        <v>20</v>
      </c>
      <c r="F36" s="114">
        <v>20</v>
      </c>
      <c r="G36" s="114">
        <v>21</v>
      </c>
      <c r="H36" s="60">
        <v>19</v>
      </c>
      <c r="I36" s="114">
        <v>20</v>
      </c>
      <c r="J36" s="177">
        <v>20</v>
      </c>
      <c r="K36" s="140">
        <v>85</v>
      </c>
      <c r="L36" s="160">
        <f t="shared" si="0"/>
        <v>1700</v>
      </c>
    </row>
    <row r="37" spans="2:12" s="110" customFormat="1" ht="15" customHeight="1" x14ac:dyDescent="0.25">
      <c r="B37" s="117">
        <v>411036</v>
      </c>
      <c r="C37" s="117" t="s">
        <v>321</v>
      </c>
      <c r="D37" s="118">
        <v>0</v>
      </c>
      <c r="E37" s="118">
        <v>7</v>
      </c>
      <c r="F37" s="117">
        <v>7</v>
      </c>
      <c r="G37" s="117">
        <v>8</v>
      </c>
      <c r="H37" s="63">
        <v>9</v>
      </c>
      <c r="I37" s="117">
        <v>8</v>
      </c>
      <c r="J37" s="184">
        <v>9</v>
      </c>
      <c r="K37" s="140">
        <v>22.8</v>
      </c>
      <c r="L37" s="158">
        <f t="shared" si="0"/>
        <v>205.20000000000002</v>
      </c>
    </row>
    <row r="38" spans="2:12" s="110" customFormat="1" ht="15" customHeight="1" x14ac:dyDescent="0.25">
      <c r="B38" s="111">
        <v>411037</v>
      </c>
      <c r="C38" s="111" t="s">
        <v>54</v>
      </c>
      <c r="D38" s="112">
        <v>22</v>
      </c>
      <c r="E38" s="112">
        <v>18</v>
      </c>
      <c r="F38" s="111">
        <v>18</v>
      </c>
      <c r="G38" s="111">
        <v>20</v>
      </c>
      <c r="H38" s="111">
        <v>20</v>
      </c>
      <c r="I38" s="111">
        <v>19</v>
      </c>
      <c r="J38" s="179">
        <v>14</v>
      </c>
      <c r="K38" s="139">
        <v>85</v>
      </c>
      <c r="L38" s="159">
        <f t="shared" si="0"/>
        <v>1190</v>
      </c>
    </row>
    <row r="39" spans="2:12" s="110" customFormat="1" ht="15" customHeight="1" x14ac:dyDescent="0.25">
      <c r="B39" s="114">
        <v>411038</v>
      </c>
      <c r="C39" s="114" t="s">
        <v>320</v>
      </c>
      <c r="D39" s="115"/>
      <c r="E39" s="115">
        <v>9</v>
      </c>
      <c r="F39" s="114">
        <v>12</v>
      </c>
      <c r="G39" s="137">
        <v>13</v>
      </c>
      <c r="H39" s="114">
        <v>15</v>
      </c>
      <c r="I39" s="114">
        <v>16</v>
      </c>
      <c r="J39" s="177">
        <v>22</v>
      </c>
      <c r="K39" s="140">
        <v>85</v>
      </c>
      <c r="L39" s="160">
        <f t="shared" si="0"/>
        <v>1870</v>
      </c>
    </row>
    <row r="40" spans="2:12" s="110" customFormat="1" ht="15" customHeight="1" x14ac:dyDescent="0.25">
      <c r="B40" s="117">
        <v>411039</v>
      </c>
      <c r="C40" s="117" t="s">
        <v>55</v>
      </c>
      <c r="D40" s="130">
        <v>9</v>
      </c>
      <c r="E40" s="130">
        <v>10</v>
      </c>
      <c r="F40" s="131">
        <v>9</v>
      </c>
      <c r="G40" s="131">
        <v>10</v>
      </c>
      <c r="H40" s="170">
        <v>11</v>
      </c>
      <c r="I40" s="131">
        <v>11</v>
      </c>
      <c r="J40" s="181">
        <v>9</v>
      </c>
      <c r="K40" s="142">
        <v>85</v>
      </c>
      <c r="L40" s="158">
        <f t="shared" si="0"/>
        <v>765</v>
      </c>
    </row>
    <row r="41" spans="2:12" s="110" customFormat="1" ht="15" customHeight="1" x14ac:dyDescent="0.25">
      <c r="B41" s="111">
        <v>411040</v>
      </c>
      <c r="C41" s="111"/>
      <c r="D41" s="112"/>
      <c r="E41" s="112"/>
      <c r="F41" s="111"/>
      <c r="G41" s="136"/>
      <c r="H41" s="76"/>
      <c r="I41" s="111"/>
      <c r="J41" s="179"/>
      <c r="K41" s="140">
        <v>22.8</v>
      </c>
      <c r="L41" s="159">
        <f t="shared" si="0"/>
        <v>0</v>
      </c>
    </row>
    <row r="42" spans="2:12" s="110" customFormat="1" ht="15" customHeight="1" x14ac:dyDescent="0.25">
      <c r="B42" s="114">
        <v>411041</v>
      </c>
      <c r="C42" s="114" t="s">
        <v>56</v>
      </c>
      <c r="D42" s="115">
        <v>16</v>
      </c>
      <c r="E42" s="115">
        <v>16</v>
      </c>
      <c r="F42" s="114">
        <v>16</v>
      </c>
      <c r="G42" s="114">
        <v>17</v>
      </c>
      <c r="H42" s="114">
        <v>24</v>
      </c>
      <c r="I42" s="114">
        <v>25</v>
      </c>
      <c r="J42" s="177">
        <v>26</v>
      </c>
      <c r="K42" s="140">
        <v>22.8</v>
      </c>
      <c r="L42" s="160">
        <f t="shared" si="0"/>
        <v>592.80000000000007</v>
      </c>
    </row>
    <row r="43" spans="2:12" s="110" customFormat="1" ht="15" customHeight="1" x14ac:dyDescent="0.25">
      <c r="B43" s="117">
        <v>411042</v>
      </c>
      <c r="C43" s="117" t="s">
        <v>57</v>
      </c>
      <c r="D43" s="118">
        <v>24</v>
      </c>
      <c r="E43" s="118">
        <v>24</v>
      </c>
      <c r="F43" s="117">
        <v>23</v>
      </c>
      <c r="G43" s="117">
        <v>24</v>
      </c>
      <c r="H43" s="63">
        <v>25</v>
      </c>
      <c r="I43" s="117">
        <v>25</v>
      </c>
      <c r="J43" s="178">
        <v>27</v>
      </c>
      <c r="K43" s="140">
        <v>22.8</v>
      </c>
      <c r="L43" s="158">
        <f t="shared" si="0"/>
        <v>615.6</v>
      </c>
    </row>
    <row r="44" spans="2:12" s="110" customFormat="1" ht="15" customHeight="1" x14ac:dyDescent="0.25">
      <c r="B44" s="111">
        <v>411043</v>
      </c>
      <c r="C44" s="111" t="s">
        <v>58</v>
      </c>
      <c r="D44" s="112">
        <v>14</v>
      </c>
      <c r="E44" s="112">
        <v>14</v>
      </c>
      <c r="F44" s="111">
        <v>14</v>
      </c>
      <c r="G44" s="111">
        <v>15</v>
      </c>
      <c r="H44" s="111">
        <v>15</v>
      </c>
      <c r="I44" s="111">
        <v>15</v>
      </c>
      <c r="J44" s="179">
        <v>16</v>
      </c>
      <c r="K44" s="140">
        <v>22.8</v>
      </c>
      <c r="L44" s="159">
        <f t="shared" si="0"/>
        <v>364.8</v>
      </c>
    </row>
    <row r="45" spans="2:12" s="110" customFormat="1" ht="15" customHeight="1" x14ac:dyDescent="0.25">
      <c r="B45" s="114">
        <v>411044</v>
      </c>
      <c r="C45" s="114" t="s">
        <v>86</v>
      </c>
      <c r="D45" s="115">
        <v>72</v>
      </c>
      <c r="E45" s="115">
        <v>75</v>
      </c>
      <c r="F45" s="114">
        <v>75</v>
      </c>
      <c r="G45" s="114">
        <v>75</v>
      </c>
      <c r="H45" s="60">
        <v>76</v>
      </c>
      <c r="I45" s="114">
        <v>77</v>
      </c>
      <c r="J45" s="186">
        <v>78</v>
      </c>
      <c r="K45" s="140">
        <v>2.9</v>
      </c>
      <c r="L45" s="160">
        <f t="shared" si="0"/>
        <v>226.2</v>
      </c>
    </row>
    <row r="46" spans="2:12" s="110" customFormat="1" ht="15" customHeight="1" x14ac:dyDescent="0.25">
      <c r="B46" s="117">
        <v>411045</v>
      </c>
      <c r="C46" s="117" t="s">
        <v>59</v>
      </c>
      <c r="D46" s="118">
        <v>31</v>
      </c>
      <c r="E46" s="118">
        <v>31</v>
      </c>
      <c r="F46" s="117">
        <v>31</v>
      </c>
      <c r="G46" s="117">
        <v>31</v>
      </c>
      <c r="H46" s="63">
        <v>32</v>
      </c>
      <c r="I46" s="117">
        <v>33</v>
      </c>
      <c r="J46" s="178">
        <v>33</v>
      </c>
      <c r="K46" s="141">
        <v>2.9</v>
      </c>
      <c r="L46" s="158">
        <f t="shared" si="0"/>
        <v>95.7</v>
      </c>
    </row>
    <row r="47" spans="2:12" s="110" customFormat="1" ht="15" customHeight="1" x14ac:dyDescent="0.25">
      <c r="B47" s="111">
        <v>411046</v>
      </c>
      <c r="C47" s="111" t="s">
        <v>60</v>
      </c>
      <c r="D47" s="112">
        <v>11</v>
      </c>
      <c r="E47" s="112">
        <v>11</v>
      </c>
      <c r="F47" s="111">
        <v>15</v>
      </c>
      <c r="G47" s="111">
        <v>16</v>
      </c>
      <c r="H47" s="76">
        <v>17</v>
      </c>
      <c r="I47" s="111">
        <v>18</v>
      </c>
      <c r="J47" s="179">
        <v>15</v>
      </c>
      <c r="K47" s="140">
        <v>22.8</v>
      </c>
      <c r="L47" s="159">
        <f t="shared" si="0"/>
        <v>342</v>
      </c>
    </row>
    <row r="48" spans="2:12" s="110" customFormat="1" ht="15" customHeight="1" x14ac:dyDescent="0.25">
      <c r="B48" s="122">
        <v>411047</v>
      </c>
      <c r="C48" s="122" t="s">
        <v>224</v>
      </c>
      <c r="D48" s="115">
        <v>12</v>
      </c>
      <c r="E48" s="115">
        <v>9</v>
      </c>
      <c r="F48" s="114">
        <v>9</v>
      </c>
      <c r="G48" s="114">
        <v>9</v>
      </c>
      <c r="H48" s="60">
        <v>10</v>
      </c>
      <c r="I48" s="114">
        <v>11</v>
      </c>
      <c r="J48" s="177">
        <v>26</v>
      </c>
      <c r="K48" s="140">
        <v>22.8</v>
      </c>
      <c r="L48" s="160">
        <f t="shared" si="0"/>
        <v>592.80000000000007</v>
      </c>
    </row>
    <row r="49" spans="1:14" s="110" customFormat="1" ht="15" customHeight="1" x14ac:dyDescent="0.25">
      <c r="B49" s="127">
        <v>411049</v>
      </c>
      <c r="C49" s="127" t="s">
        <v>225</v>
      </c>
      <c r="D49" s="118">
        <v>13</v>
      </c>
      <c r="E49" s="118">
        <v>14</v>
      </c>
      <c r="F49" s="117">
        <v>14</v>
      </c>
      <c r="G49" s="138">
        <v>17</v>
      </c>
      <c r="H49" s="117">
        <v>17</v>
      </c>
      <c r="I49" s="117">
        <v>16</v>
      </c>
      <c r="J49" s="178">
        <v>19</v>
      </c>
      <c r="K49" s="141">
        <v>85</v>
      </c>
      <c r="L49" s="157">
        <f t="shared" si="0"/>
        <v>1615</v>
      </c>
    </row>
    <row r="50" spans="1:14" s="110" customFormat="1" ht="15" customHeight="1" x14ac:dyDescent="0.25">
      <c r="B50" s="120">
        <v>411050</v>
      </c>
      <c r="C50" s="120" t="s">
        <v>226</v>
      </c>
      <c r="D50" s="112">
        <v>14</v>
      </c>
      <c r="E50" s="112"/>
      <c r="F50" s="111"/>
      <c r="G50" s="111"/>
      <c r="H50" s="111"/>
      <c r="I50" s="111"/>
      <c r="J50" s="179"/>
      <c r="K50" s="139">
        <v>0</v>
      </c>
      <c r="L50" s="155">
        <f t="shared" si="0"/>
        <v>0</v>
      </c>
    </row>
    <row r="51" spans="1:14" s="110" customFormat="1" ht="15" customHeight="1" x14ac:dyDescent="0.25">
      <c r="B51" s="122">
        <v>411051</v>
      </c>
      <c r="C51" s="122" t="s">
        <v>258</v>
      </c>
      <c r="D51" s="115">
        <v>21</v>
      </c>
      <c r="E51" s="115">
        <v>21</v>
      </c>
      <c r="F51" s="114">
        <v>21</v>
      </c>
      <c r="G51" s="114">
        <v>21</v>
      </c>
      <c r="H51" s="60">
        <v>22</v>
      </c>
      <c r="I51" s="114">
        <v>23</v>
      </c>
      <c r="J51" s="177">
        <v>40</v>
      </c>
      <c r="K51" s="140">
        <v>2.9</v>
      </c>
      <c r="L51" s="156">
        <f t="shared" si="0"/>
        <v>116</v>
      </c>
    </row>
    <row r="52" spans="1:14" s="110" customFormat="1" ht="15" customHeight="1" x14ac:dyDescent="0.25">
      <c r="B52" s="122">
        <v>411052</v>
      </c>
      <c r="C52" s="122" t="s">
        <v>337</v>
      </c>
      <c r="D52" s="115"/>
      <c r="E52" s="115"/>
      <c r="F52" s="114">
        <v>14</v>
      </c>
      <c r="G52" s="114">
        <v>11</v>
      </c>
      <c r="H52" s="60">
        <v>10</v>
      </c>
      <c r="I52" s="114">
        <v>11</v>
      </c>
      <c r="J52" s="177">
        <v>12</v>
      </c>
      <c r="K52" s="140">
        <v>8.6999999999999993</v>
      </c>
      <c r="L52" s="156">
        <f t="shared" si="0"/>
        <v>104.39999999999999</v>
      </c>
    </row>
    <row r="53" spans="1:14" s="92" customFormat="1" ht="31.5" customHeight="1" x14ac:dyDescent="0.25">
      <c r="A53" s="132"/>
      <c r="B53" s="133"/>
      <c r="C53" s="134"/>
      <c r="D53" s="135">
        <f t="shared" ref="D53:J53" si="1">SUM(D2:D52)</f>
        <v>1396</v>
      </c>
      <c r="E53" s="135">
        <f t="shared" si="1"/>
        <v>1390</v>
      </c>
      <c r="F53" s="135">
        <f t="shared" si="1"/>
        <v>1372</v>
      </c>
      <c r="G53" s="135">
        <f t="shared" si="1"/>
        <v>1400</v>
      </c>
      <c r="H53" s="171">
        <f t="shared" si="1"/>
        <v>1382</v>
      </c>
      <c r="I53" s="171">
        <f t="shared" ref="I53" si="2">SUM(I2:I52)</f>
        <v>1396</v>
      </c>
      <c r="J53" s="135">
        <f t="shared" si="1"/>
        <v>1491</v>
      </c>
      <c r="K53" s="132"/>
      <c r="L53" s="161">
        <f>SUM(L2:L52)</f>
        <v>81575.899999999994</v>
      </c>
      <c r="N53" s="144"/>
    </row>
    <row r="54" spans="1:14" ht="15" customHeight="1" x14ac:dyDescent="0.25"/>
  </sheetData>
  <pageMargins left="0.78740157480314965" right="0.78740157480314965" top="0.35" bottom="0.53" header="0.51181102362204722" footer="0.51181102362204722"/>
  <pageSetup paperSize="9" scale="88" fitToHeight="0" orientation="portrait" r:id="rId1"/>
  <headerFooter alignWithMargins="0">
    <oddFooter>&amp;C_x000D_&amp;1#&amp;"Aptos"&amp;10&amp;KFF0000 C2 -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09C1-DFC9-48E0-B427-7AC43C213856}">
  <sheetPr>
    <pageSetUpPr fitToPage="1"/>
  </sheetPr>
  <dimension ref="A2:M54"/>
  <sheetViews>
    <sheetView topLeftCell="A25" zoomScaleNormal="100" workbookViewId="0">
      <selection activeCell="I19" sqref="I19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hidden="1" customWidth="1"/>
    <col min="5" max="5" width="9.21875" style="82" hidden="1" customWidth="1"/>
    <col min="6" max="7" width="9.21875" style="52" hidden="1" customWidth="1"/>
    <col min="8" max="8" width="9.21875" style="52" customWidth="1"/>
    <col min="9" max="9" width="9.21875" style="41" customWidth="1"/>
    <col min="10" max="10" width="9.21875" style="52" customWidth="1"/>
    <col min="11" max="11" width="13" style="162" customWidth="1"/>
    <col min="12" max="12" width="11.6640625" style="52" bestFit="1" customWidth="1"/>
    <col min="13" max="16384" width="10.6640625" style="52"/>
  </cols>
  <sheetData>
    <row r="2" spans="1:12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55" t="s">
        <v>338</v>
      </c>
      <c r="I2" s="145" t="s">
        <v>340</v>
      </c>
      <c r="J2" s="46" t="s">
        <v>14</v>
      </c>
      <c r="K2" s="154" t="s">
        <v>341</v>
      </c>
    </row>
    <row r="3" spans="1:12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11">
        <v>74</v>
      </c>
      <c r="I3" s="146">
        <v>72</v>
      </c>
      <c r="J3" s="139">
        <v>85</v>
      </c>
      <c r="K3" s="155">
        <f t="shared" ref="K3:K52" si="0">+I3*J3</f>
        <v>6120</v>
      </c>
    </row>
    <row r="4" spans="1:12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14">
        <v>60</v>
      </c>
      <c r="I4" s="147">
        <v>60</v>
      </c>
      <c r="J4" s="140">
        <v>85</v>
      </c>
      <c r="K4" s="156">
        <f t="shared" si="0"/>
        <v>5100</v>
      </c>
    </row>
    <row r="5" spans="1:12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17">
        <v>48</v>
      </c>
      <c r="I5" s="147">
        <v>50</v>
      </c>
      <c r="J5" s="141">
        <v>85</v>
      </c>
      <c r="K5" s="157">
        <f t="shared" si="0"/>
        <v>4250</v>
      </c>
    </row>
    <row r="6" spans="1:12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11">
        <v>51</v>
      </c>
      <c r="I6" s="146">
        <v>46</v>
      </c>
      <c r="J6" s="139">
        <v>85</v>
      </c>
      <c r="K6" s="155">
        <f t="shared" si="0"/>
        <v>3910</v>
      </c>
    </row>
    <row r="7" spans="1:12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14">
        <f>63-6</f>
        <v>57</v>
      </c>
      <c r="I7" s="147">
        <v>60</v>
      </c>
      <c r="J7" s="140">
        <v>85</v>
      </c>
      <c r="K7" s="156">
        <f t="shared" si="0"/>
        <v>5100</v>
      </c>
      <c r="L7" s="110"/>
    </row>
    <row r="8" spans="1:12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14">
        <v>21</v>
      </c>
      <c r="I8" s="147">
        <v>26</v>
      </c>
      <c r="J8" s="140">
        <v>85</v>
      </c>
      <c r="K8" s="156">
        <f t="shared" si="0"/>
        <v>2210</v>
      </c>
    </row>
    <row r="9" spans="1:12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17">
        <v>35</v>
      </c>
      <c r="I9" s="148">
        <v>37</v>
      </c>
      <c r="J9" s="141">
        <v>85</v>
      </c>
      <c r="K9" s="157">
        <f t="shared" si="0"/>
        <v>3145</v>
      </c>
    </row>
    <row r="10" spans="1:12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76">
        <v>32</v>
      </c>
      <c r="I10" s="146">
        <v>30</v>
      </c>
      <c r="J10" s="139">
        <v>85</v>
      </c>
      <c r="K10" s="155">
        <f t="shared" si="0"/>
        <v>2550</v>
      </c>
    </row>
    <row r="11" spans="1:12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60">
        <v>40</v>
      </c>
      <c r="I11" s="150">
        <v>36</v>
      </c>
      <c r="J11" s="140">
        <v>85</v>
      </c>
      <c r="K11" s="156">
        <f t="shared" si="0"/>
        <v>3060</v>
      </c>
    </row>
    <row r="12" spans="1:12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17">
        <v>23</v>
      </c>
      <c r="I12" s="148">
        <v>24</v>
      </c>
      <c r="J12" s="141">
        <v>85</v>
      </c>
      <c r="K12" s="158">
        <f t="shared" si="0"/>
        <v>2040</v>
      </c>
    </row>
    <row r="13" spans="1:12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11">
        <f>32-11</f>
        <v>21</v>
      </c>
      <c r="I13" s="146">
        <v>23</v>
      </c>
      <c r="J13" s="139">
        <v>85</v>
      </c>
      <c r="K13" s="159">
        <f t="shared" si="0"/>
        <v>1955</v>
      </c>
    </row>
    <row r="14" spans="1:12" s="110" customFormat="1" ht="15" customHeight="1" x14ac:dyDescent="0.25">
      <c r="B14" s="122">
        <v>411012</v>
      </c>
      <c r="C14" s="114" t="s">
        <v>31</v>
      </c>
      <c r="D14" s="115">
        <v>14</v>
      </c>
      <c r="E14" s="115">
        <v>44</v>
      </c>
      <c r="F14" s="114">
        <v>46</v>
      </c>
      <c r="G14" s="114">
        <v>47</v>
      </c>
      <c r="H14" s="60">
        <v>48</v>
      </c>
      <c r="I14" s="150">
        <v>49</v>
      </c>
      <c r="J14" s="140">
        <v>22.8</v>
      </c>
      <c r="K14" s="160">
        <f t="shared" si="0"/>
        <v>1117.2</v>
      </c>
    </row>
    <row r="15" spans="1:12" s="110" customFormat="1" ht="15" customHeight="1" x14ac:dyDescent="0.25">
      <c r="B15" s="117">
        <v>411013</v>
      </c>
      <c r="C15" s="117" t="s">
        <v>32</v>
      </c>
      <c r="D15" s="118">
        <v>39</v>
      </c>
      <c r="E15" s="118">
        <v>38</v>
      </c>
      <c r="F15" s="117">
        <v>42</v>
      </c>
      <c r="G15" s="138">
        <v>45</v>
      </c>
      <c r="H15" s="117">
        <v>40</v>
      </c>
      <c r="I15" s="148">
        <v>36</v>
      </c>
      <c r="J15" s="141">
        <v>22.8</v>
      </c>
      <c r="K15" s="158">
        <f t="shared" si="0"/>
        <v>820.80000000000007</v>
      </c>
    </row>
    <row r="16" spans="1:12" s="110" customFormat="1" ht="15" customHeight="1" x14ac:dyDescent="0.25">
      <c r="B16" s="111">
        <v>411014</v>
      </c>
      <c r="C16" s="111" t="s">
        <v>33</v>
      </c>
      <c r="D16" s="112">
        <v>26</v>
      </c>
      <c r="E16" s="112">
        <v>29</v>
      </c>
      <c r="F16" s="111">
        <v>33</v>
      </c>
      <c r="G16" s="136">
        <v>42</v>
      </c>
      <c r="H16" s="76">
        <v>43</v>
      </c>
      <c r="I16" s="149">
        <v>42</v>
      </c>
      <c r="J16" s="139">
        <v>22.8</v>
      </c>
      <c r="K16" s="159">
        <f t="shared" si="0"/>
        <v>957.6</v>
      </c>
    </row>
    <row r="17" spans="1:12" s="110" customFormat="1" ht="15" customHeight="1" x14ac:dyDescent="0.25">
      <c r="B17" s="114">
        <v>411015</v>
      </c>
      <c r="C17" s="114" t="s">
        <v>34</v>
      </c>
      <c r="D17" s="115">
        <v>24</v>
      </c>
      <c r="E17" s="115">
        <v>24</v>
      </c>
      <c r="F17" s="114">
        <v>24</v>
      </c>
      <c r="G17" s="137">
        <v>23</v>
      </c>
      <c r="H17" s="60">
        <v>24</v>
      </c>
      <c r="I17" s="150">
        <v>25</v>
      </c>
      <c r="J17" s="140">
        <v>22.8</v>
      </c>
      <c r="K17" s="160">
        <f t="shared" si="0"/>
        <v>570</v>
      </c>
    </row>
    <row r="18" spans="1:12" s="110" customFormat="1" ht="15" customHeight="1" x14ac:dyDescent="0.25">
      <c r="B18" s="127">
        <v>411016</v>
      </c>
      <c r="C18" s="117" t="s">
        <v>35</v>
      </c>
      <c r="D18" s="118">
        <v>37</v>
      </c>
      <c r="E18" s="118">
        <v>36</v>
      </c>
      <c r="F18" s="117">
        <v>31</v>
      </c>
      <c r="G18" s="117">
        <v>28</v>
      </c>
      <c r="H18" s="63">
        <v>29</v>
      </c>
      <c r="I18" s="151">
        <v>29</v>
      </c>
      <c r="J18" s="141">
        <v>22.8</v>
      </c>
      <c r="K18" s="158">
        <f t="shared" si="0"/>
        <v>661.2</v>
      </c>
    </row>
    <row r="19" spans="1:12" s="110" customFormat="1" ht="15" customHeight="1" x14ac:dyDescent="0.25">
      <c r="B19" s="120">
        <v>411017</v>
      </c>
      <c r="C19" s="111" t="s">
        <v>36</v>
      </c>
      <c r="D19" s="112">
        <v>25</v>
      </c>
      <c r="E19" s="112">
        <v>29</v>
      </c>
      <c r="F19" s="111">
        <v>25</v>
      </c>
      <c r="G19" s="136">
        <v>25</v>
      </c>
      <c r="H19" s="111">
        <v>23</v>
      </c>
      <c r="I19" s="146">
        <v>26</v>
      </c>
      <c r="J19" s="139">
        <v>22.8</v>
      </c>
      <c r="K19" s="159">
        <f t="shared" si="0"/>
        <v>592.80000000000007</v>
      </c>
    </row>
    <row r="20" spans="1:12" s="110" customFormat="1" ht="15" customHeight="1" x14ac:dyDescent="0.25">
      <c r="B20" s="122">
        <v>411018</v>
      </c>
      <c r="C20" s="114" t="s">
        <v>37</v>
      </c>
      <c r="D20" s="115">
        <v>36</v>
      </c>
      <c r="E20" s="115">
        <v>36</v>
      </c>
      <c r="F20" s="114">
        <v>36</v>
      </c>
      <c r="G20" s="114">
        <v>37</v>
      </c>
      <c r="H20" s="114">
        <v>36</v>
      </c>
      <c r="I20" s="147">
        <v>32</v>
      </c>
      <c r="J20" s="140">
        <v>85</v>
      </c>
      <c r="K20" s="156">
        <f t="shared" si="0"/>
        <v>2720</v>
      </c>
      <c r="L20" s="110" t="s">
        <v>233</v>
      </c>
    </row>
    <row r="21" spans="1:12" s="110" customFormat="1" ht="15" customHeight="1" x14ac:dyDescent="0.25">
      <c r="B21" s="127">
        <v>411019</v>
      </c>
      <c r="C21" s="117" t="s">
        <v>38</v>
      </c>
      <c r="D21" s="118">
        <v>22</v>
      </c>
      <c r="E21" s="118">
        <v>23</v>
      </c>
      <c r="F21" s="117">
        <v>24</v>
      </c>
      <c r="G21" s="138">
        <v>25</v>
      </c>
      <c r="H21" s="117">
        <v>26</v>
      </c>
      <c r="I21" s="148">
        <v>26</v>
      </c>
      <c r="J21" s="141">
        <v>85</v>
      </c>
      <c r="K21" s="157">
        <f t="shared" si="0"/>
        <v>2210</v>
      </c>
    </row>
    <row r="22" spans="1:12" s="110" customFormat="1" ht="15" customHeight="1" x14ac:dyDescent="0.25">
      <c r="B22" s="120">
        <v>411020</v>
      </c>
      <c r="C22" s="111" t="s">
        <v>39</v>
      </c>
      <c r="D22" s="112">
        <v>25</v>
      </c>
      <c r="E22" s="112">
        <v>23</v>
      </c>
      <c r="F22" s="111">
        <v>16</v>
      </c>
      <c r="G22" s="111">
        <v>17</v>
      </c>
      <c r="H22" s="111">
        <v>18</v>
      </c>
      <c r="I22" s="146">
        <v>20</v>
      </c>
      <c r="J22" s="139">
        <v>85</v>
      </c>
      <c r="K22" s="155">
        <f t="shared" si="0"/>
        <v>1700</v>
      </c>
      <c r="L22" s="129"/>
    </row>
    <row r="23" spans="1:12" s="110" customFormat="1" ht="15" customHeight="1" x14ac:dyDescent="0.25">
      <c r="B23" s="114">
        <v>411021</v>
      </c>
      <c r="C23" s="114" t="s">
        <v>40</v>
      </c>
      <c r="D23" s="115">
        <v>41</v>
      </c>
      <c r="E23" s="115">
        <v>40</v>
      </c>
      <c r="F23" s="114">
        <v>39</v>
      </c>
      <c r="G23" s="137">
        <v>41</v>
      </c>
      <c r="H23" s="114">
        <v>35</v>
      </c>
      <c r="I23" s="147">
        <v>36</v>
      </c>
      <c r="J23" s="140">
        <v>22.8</v>
      </c>
      <c r="K23" s="160">
        <f t="shared" si="0"/>
        <v>820.80000000000007</v>
      </c>
    </row>
    <row r="24" spans="1:12" s="110" customFormat="1" ht="15" customHeight="1" x14ac:dyDescent="0.25">
      <c r="B24" s="117">
        <v>411022</v>
      </c>
      <c r="C24" s="117" t="s">
        <v>41</v>
      </c>
      <c r="D24" s="118">
        <v>9</v>
      </c>
      <c r="E24" s="118">
        <v>9</v>
      </c>
      <c r="F24" s="117">
        <v>9</v>
      </c>
      <c r="G24" s="117">
        <v>10</v>
      </c>
      <c r="H24" s="117">
        <v>10</v>
      </c>
      <c r="I24" s="148">
        <v>10</v>
      </c>
      <c r="J24" s="141">
        <v>22.8</v>
      </c>
      <c r="K24" s="158">
        <f t="shared" si="0"/>
        <v>228</v>
      </c>
    </row>
    <row r="25" spans="1:12" s="110" customFormat="1" ht="15" customHeight="1" x14ac:dyDescent="0.25">
      <c r="B25" s="111">
        <v>411023</v>
      </c>
      <c r="C25" s="111" t="s">
        <v>329</v>
      </c>
      <c r="D25" s="112">
        <v>13</v>
      </c>
      <c r="E25" s="112">
        <v>13</v>
      </c>
      <c r="F25" s="111">
        <v>11</v>
      </c>
      <c r="G25" s="136">
        <v>12</v>
      </c>
      <c r="H25" s="111">
        <v>14</v>
      </c>
      <c r="I25" s="146">
        <v>15</v>
      </c>
      <c r="J25" s="139">
        <v>22.8</v>
      </c>
      <c r="K25" s="159">
        <f t="shared" si="0"/>
        <v>342</v>
      </c>
    </row>
    <row r="26" spans="1:12" s="110" customFormat="1" ht="15" customHeight="1" x14ac:dyDescent="0.25">
      <c r="B26" s="114">
        <v>411025</v>
      </c>
      <c r="C26" s="114" t="s">
        <v>43</v>
      </c>
      <c r="D26" s="115">
        <v>49</v>
      </c>
      <c r="E26" s="115">
        <v>47</v>
      </c>
      <c r="F26" s="114">
        <v>45</v>
      </c>
      <c r="G26" s="137">
        <v>43</v>
      </c>
      <c r="H26" s="114">
        <v>32</v>
      </c>
      <c r="I26" s="147">
        <v>35</v>
      </c>
      <c r="J26" s="140">
        <v>85</v>
      </c>
      <c r="K26" s="160">
        <f t="shared" si="0"/>
        <v>2975</v>
      </c>
    </row>
    <row r="27" spans="1:12" s="110" customFormat="1" ht="15" customHeight="1" x14ac:dyDescent="0.25">
      <c r="B27" s="117">
        <v>411026</v>
      </c>
      <c r="C27" s="117" t="s">
        <v>44</v>
      </c>
      <c r="D27" s="118">
        <v>25</v>
      </c>
      <c r="E27" s="118">
        <v>24</v>
      </c>
      <c r="F27" s="117">
        <v>24</v>
      </c>
      <c r="G27" s="117">
        <v>25</v>
      </c>
      <c r="H27" s="117">
        <v>25</v>
      </c>
      <c r="I27" s="148">
        <v>25</v>
      </c>
      <c r="J27" s="141">
        <v>85</v>
      </c>
      <c r="K27" s="158">
        <f t="shared" si="0"/>
        <v>2125</v>
      </c>
    </row>
    <row r="28" spans="1:12" s="92" customFormat="1" ht="18.45" customHeight="1" x14ac:dyDescent="0.25">
      <c r="A28" s="110"/>
      <c r="B28" s="114">
        <v>411027</v>
      </c>
      <c r="C28" s="114" t="s">
        <v>45</v>
      </c>
      <c r="D28" s="115">
        <v>39</v>
      </c>
      <c r="E28" s="115">
        <v>25</v>
      </c>
      <c r="F28" s="114">
        <v>18</v>
      </c>
      <c r="G28" s="137">
        <v>20</v>
      </c>
      <c r="H28" s="114">
        <v>23</v>
      </c>
      <c r="I28" s="147">
        <v>25</v>
      </c>
      <c r="J28" s="140">
        <v>85</v>
      </c>
      <c r="K28" s="160">
        <f t="shared" si="0"/>
        <v>2125</v>
      </c>
      <c r="L28" s="110"/>
    </row>
    <row r="29" spans="1:12" s="110" customFormat="1" ht="15" customHeight="1" x14ac:dyDescent="0.25">
      <c r="B29" s="111">
        <v>411028</v>
      </c>
      <c r="C29" s="111" t="s">
        <v>46</v>
      </c>
      <c r="D29" s="112">
        <v>38</v>
      </c>
      <c r="E29" s="112">
        <v>37</v>
      </c>
      <c r="F29" s="111">
        <v>37</v>
      </c>
      <c r="G29" s="136">
        <v>39</v>
      </c>
      <c r="H29" s="111">
        <v>37</v>
      </c>
      <c r="I29" s="146">
        <v>33</v>
      </c>
      <c r="J29" s="139">
        <v>85</v>
      </c>
      <c r="K29" s="159">
        <f t="shared" si="0"/>
        <v>2805</v>
      </c>
    </row>
    <row r="30" spans="1:12" s="110" customFormat="1" ht="15" customHeight="1" x14ac:dyDescent="0.25">
      <c r="B30" s="114">
        <v>411029</v>
      </c>
      <c r="C30" s="114" t="s">
        <v>47</v>
      </c>
      <c r="D30" s="115">
        <v>42</v>
      </c>
      <c r="E30" s="115">
        <v>41</v>
      </c>
      <c r="F30" s="114">
        <v>38</v>
      </c>
      <c r="G30" s="137">
        <v>39</v>
      </c>
      <c r="H30" s="114">
        <f>26+13</f>
        <v>39</v>
      </c>
      <c r="I30" s="150">
        <v>39</v>
      </c>
      <c r="J30" s="140">
        <v>22.8</v>
      </c>
      <c r="K30" s="160">
        <f t="shared" si="0"/>
        <v>889.2</v>
      </c>
    </row>
    <row r="31" spans="1:12" s="110" customFormat="1" ht="15" customHeight="1" x14ac:dyDescent="0.25">
      <c r="B31" s="117">
        <v>411030</v>
      </c>
      <c r="C31" s="117" t="s">
        <v>48</v>
      </c>
      <c r="D31" s="118">
        <v>23</v>
      </c>
      <c r="E31" s="118">
        <v>19</v>
      </c>
      <c r="F31" s="117">
        <v>19</v>
      </c>
      <c r="G31" s="117">
        <v>20</v>
      </c>
      <c r="H31" s="63">
        <v>21</v>
      </c>
      <c r="I31" s="151">
        <v>22</v>
      </c>
      <c r="J31" s="141">
        <v>22.8</v>
      </c>
      <c r="K31" s="158">
        <f t="shared" si="0"/>
        <v>501.6</v>
      </c>
    </row>
    <row r="32" spans="1:12" s="110" customFormat="1" ht="15" customHeight="1" x14ac:dyDescent="0.25">
      <c r="B32" s="111">
        <v>411031</v>
      </c>
      <c r="C32" s="111"/>
      <c r="D32" s="112"/>
      <c r="E32" s="112"/>
      <c r="F32" s="112"/>
      <c r="G32" s="112"/>
      <c r="H32" s="112"/>
      <c r="I32" s="152"/>
      <c r="J32" s="139"/>
      <c r="K32" s="159">
        <f t="shared" si="0"/>
        <v>0</v>
      </c>
    </row>
    <row r="33" spans="2:11" s="110" customFormat="1" ht="15" customHeight="1" x14ac:dyDescent="0.25">
      <c r="B33" s="114">
        <v>411032</v>
      </c>
      <c r="C33" s="114" t="s">
        <v>50</v>
      </c>
      <c r="D33" s="115">
        <v>22</v>
      </c>
      <c r="E33" s="115">
        <v>21</v>
      </c>
      <c r="F33" s="114">
        <v>24</v>
      </c>
      <c r="G33" s="137">
        <v>24</v>
      </c>
      <c r="H33" s="60">
        <v>25</v>
      </c>
      <c r="I33" s="147">
        <v>26</v>
      </c>
      <c r="J33" s="140">
        <v>22.8</v>
      </c>
      <c r="K33" s="160">
        <f t="shared" si="0"/>
        <v>592.80000000000007</v>
      </c>
    </row>
    <row r="34" spans="2:11" s="110" customFormat="1" ht="15" customHeight="1" x14ac:dyDescent="0.25">
      <c r="B34" s="117">
        <v>411033</v>
      </c>
      <c r="C34" s="117" t="s">
        <v>51</v>
      </c>
      <c r="D34" s="118">
        <v>37</v>
      </c>
      <c r="E34" s="118">
        <v>36</v>
      </c>
      <c r="F34" s="117">
        <v>33</v>
      </c>
      <c r="G34" s="138">
        <v>29</v>
      </c>
      <c r="H34" s="117">
        <v>31</v>
      </c>
      <c r="I34" s="148">
        <v>36</v>
      </c>
      <c r="J34" s="141">
        <v>85</v>
      </c>
      <c r="K34" s="158">
        <f t="shared" si="0"/>
        <v>3060</v>
      </c>
    </row>
    <row r="35" spans="2:11" s="110" customFormat="1" ht="15" customHeight="1" x14ac:dyDescent="0.25">
      <c r="B35" s="111">
        <v>411034</v>
      </c>
      <c r="C35" s="111" t="s">
        <v>52</v>
      </c>
      <c r="D35" s="112">
        <v>20</v>
      </c>
      <c r="E35" s="112">
        <v>20</v>
      </c>
      <c r="F35" s="111">
        <v>15</v>
      </c>
      <c r="G35" s="111">
        <v>18</v>
      </c>
      <c r="H35" s="76">
        <v>19</v>
      </c>
      <c r="I35" s="146">
        <v>17</v>
      </c>
      <c r="J35" s="139">
        <v>85</v>
      </c>
      <c r="K35" s="159">
        <f t="shared" si="0"/>
        <v>1445</v>
      </c>
    </row>
    <row r="36" spans="2:11" s="110" customFormat="1" ht="15" customHeight="1" x14ac:dyDescent="0.25">
      <c r="B36" s="114">
        <v>411035</v>
      </c>
      <c r="C36" s="114" t="s">
        <v>53</v>
      </c>
      <c r="D36" s="115">
        <v>24</v>
      </c>
      <c r="E36" s="115">
        <v>20</v>
      </c>
      <c r="F36" s="114">
        <v>20</v>
      </c>
      <c r="G36" s="114">
        <v>21</v>
      </c>
      <c r="H36" s="60">
        <v>19</v>
      </c>
      <c r="I36" s="147">
        <v>20</v>
      </c>
      <c r="J36" s="140">
        <v>85</v>
      </c>
      <c r="K36" s="160">
        <f t="shared" si="0"/>
        <v>1700</v>
      </c>
    </row>
    <row r="37" spans="2:11" s="110" customFormat="1" ht="15" customHeight="1" x14ac:dyDescent="0.25">
      <c r="B37" s="117">
        <v>411036</v>
      </c>
      <c r="C37" s="117" t="s">
        <v>321</v>
      </c>
      <c r="D37" s="118">
        <v>0</v>
      </c>
      <c r="E37" s="118">
        <v>7</v>
      </c>
      <c r="F37" s="117">
        <v>7</v>
      </c>
      <c r="G37" s="117">
        <v>8</v>
      </c>
      <c r="H37" s="63">
        <v>9</v>
      </c>
      <c r="I37" s="148">
        <v>8</v>
      </c>
      <c r="J37" s="141">
        <v>22.8</v>
      </c>
      <c r="K37" s="158">
        <f t="shared" si="0"/>
        <v>182.4</v>
      </c>
    </row>
    <row r="38" spans="2:11" s="110" customFormat="1" ht="15" customHeight="1" x14ac:dyDescent="0.25">
      <c r="B38" s="111">
        <v>411037</v>
      </c>
      <c r="C38" s="111" t="s">
        <v>54</v>
      </c>
      <c r="D38" s="112">
        <v>22</v>
      </c>
      <c r="E38" s="112">
        <v>18</v>
      </c>
      <c r="F38" s="111">
        <v>18</v>
      </c>
      <c r="G38" s="111">
        <v>20</v>
      </c>
      <c r="H38" s="111">
        <v>20</v>
      </c>
      <c r="I38" s="146">
        <v>19</v>
      </c>
      <c r="J38" s="139">
        <v>85</v>
      </c>
      <c r="K38" s="159">
        <f t="shared" si="0"/>
        <v>1615</v>
      </c>
    </row>
    <row r="39" spans="2:11" s="110" customFormat="1" ht="15" customHeight="1" x14ac:dyDescent="0.25">
      <c r="B39" s="114">
        <v>411038</v>
      </c>
      <c r="C39" s="114" t="s">
        <v>320</v>
      </c>
      <c r="D39" s="115"/>
      <c r="E39" s="115">
        <v>9</v>
      </c>
      <c r="F39" s="114">
        <v>12</v>
      </c>
      <c r="G39" s="137">
        <v>13</v>
      </c>
      <c r="H39" s="114">
        <v>15</v>
      </c>
      <c r="I39" s="147">
        <v>16</v>
      </c>
      <c r="J39" s="140">
        <v>85</v>
      </c>
      <c r="K39" s="160">
        <f t="shared" si="0"/>
        <v>1360</v>
      </c>
    </row>
    <row r="40" spans="2:11" s="110" customFormat="1" ht="15" customHeight="1" x14ac:dyDescent="0.25">
      <c r="B40" s="117">
        <v>411039</v>
      </c>
      <c r="C40" s="117" t="s">
        <v>55</v>
      </c>
      <c r="D40" s="130">
        <v>9</v>
      </c>
      <c r="E40" s="130">
        <v>10</v>
      </c>
      <c r="F40" s="131">
        <v>9</v>
      </c>
      <c r="G40" s="131">
        <v>10</v>
      </c>
      <c r="H40" s="170">
        <v>11</v>
      </c>
      <c r="I40" s="169">
        <v>11</v>
      </c>
      <c r="J40" s="142">
        <v>85</v>
      </c>
      <c r="K40" s="158">
        <f t="shared" si="0"/>
        <v>935</v>
      </c>
    </row>
    <row r="41" spans="2:11" s="110" customFormat="1" ht="15" customHeight="1" x14ac:dyDescent="0.25">
      <c r="B41" s="111">
        <v>411040</v>
      </c>
      <c r="C41" s="111" t="s">
        <v>146</v>
      </c>
      <c r="D41" s="112">
        <v>12</v>
      </c>
      <c r="E41" s="112">
        <v>12</v>
      </c>
      <c r="F41" s="111">
        <v>12</v>
      </c>
      <c r="G41" s="136">
        <v>19</v>
      </c>
      <c r="H41" s="76">
        <v>20</v>
      </c>
      <c r="I41" s="146">
        <v>0</v>
      </c>
      <c r="J41" s="139">
        <v>22.8</v>
      </c>
      <c r="K41" s="159">
        <f t="shared" si="0"/>
        <v>0</v>
      </c>
    </row>
    <row r="42" spans="2:11" s="110" customFormat="1" ht="15" customHeight="1" x14ac:dyDescent="0.25">
      <c r="B42" s="114">
        <v>411041</v>
      </c>
      <c r="C42" s="114" t="s">
        <v>56</v>
      </c>
      <c r="D42" s="115">
        <v>16</v>
      </c>
      <c r="E42" s="115">
        <v>16</v>
      </c>
      <c r="F42" s="114">
        <v>16</v>
      </c>
      <c r="G42" s="114">
        <v>17</v>
      </c>
      <c r="H42" s="114">
        <v>24</v>
      </c>
      <c r="I42" s="147">
        <v>25</v>
      </c>
      <c r="J42" s="140">
        <v>22.8</v>
      </c>
      <c r="K42" s="160">
        <f t="shared" si="0"/>
        <v>570</v>
      </c>
    </row>
    <row r="43" spans="2:11" s="110" customFormat="1" ht="15" customHeight="1" x14ac:dyDescent="0.25">
      <c r="B43" s="117">
        <v>411042</v>
      </c>
      <c r="C43" s="117" t="s">
        <v>57</v>
      </c>
      <c r="D43" s="118">
        <v>24</v>
      </c>
      <c r="E43" s="118">
        <v>24</v>
      </c>
      <c r="F43" s="117">
        <v>23</v>
      </c>
      <c r="G43" s="117">
        <v>24</v>
      </c>
      <c r="H43" s="63">
        <v>25</v>
      </c>
      <c r="I43" s="148">
        <v>25</v>
      </c>
      <c r="J43" s="141">
        <v>22.8</v>
      </c>
      <c r="K43" s="158">
        <f t="shared" si="0"/>
        <v>570</v>
      </c>
    </row>
    <row r="44" spans="2:11" s="110" customFormat="1" ht="15" customHeight="1" x14ac:dyDescent="0.25">
      <c r="B44" s="111">
        <v>411043</v>
      </c>
      <c r="C44" s="111" t="s">
        <v>58</v>
      </c>
      <c r="D44" s="112">
        <v>14</v>
      </c>
      <c r="E44" s="112">
        <v>14</v>
      </c>
      <c r="F44" s="111">
        <v>14</v>
      </c>
      <c r="G44" s="111">
        <v>15</v>
      </c>
      <c r="H44" s="111">
        <v>15</v>
      </c>
      <c r="I44" s="146">
        <v>15</v>
      </c>
      <c r="J44" s="139">
        <v>22.8</v>
      </c>
      <c r="K44" s="159">
        <f t="shared" si="0"/>
        <v>342</v>
      </c>
    </row>
    <row r="45" spans="2:11" s="110" customFormat="1" ht="15" customHeight="1" x14ac:dyDescent="0.25">
      <c r="B45" s="114">
        <v>411044</v>
      </c>
      <c r="C45" s="114" t="s">
        <v>86</v>
      </c>
      <c r="D45" s="115">
        <v>72</v>
      </c>
      <c r="E45" s="115">
        <v>75</v>
      </c>
      <c r="F45" s="114">
        <v>75</v>
      </c>
      <c r="G45" s="114">
        <v>75</v>
      </c>
      <c r="H45" s="60">
        <v>76</v>
      </c>
      <c r="I45" s="147">
        <v>77</v>
      </c>
      <c r="J45" s="140">
        <v>2.9</v>
      </c>
      <c r="K45" s="160">
        <f t="shared" si="0"/>
        <v>223.29999999999998</v>
      </c>
    </row>
    <row r="46" spans="2:11" s="110" customFormat="1" ht="15" customHeight="1" x14ac:dyDescent="0.25">
      <c r="B46" s="117">
        <v>411045</v>
      </c>
      <c r="C46" s="117" t="s">
        <v>59</v>
      </c>
      <c r="D46" s="118">
        <v>31</v>
      </c>
      <c r="E46" s="118">
        <v>31</v>
      </c>
      <c r="F46" s="117">
        <v>31</v>
      </c>
      <c r="G46" s="117">
        <v>31</v>
      </c>
      <c r="H46" s="63">
        <v>32</v>
      </c>
      <c r="I46" s="148">
        <v>33</v>
      </c>
      <c r="J46" s="141">
        <v>2.9</v>
      </c>
      <c r="K46" s="158">
        <f t="shared" si="0"/>
        <v>95.7</v>
      </c>
    </row>
    <row r="47" spans="2:11" s="110" customFormat="1" ht="15" customHeight="1" x14ac:dyDescent="0.25">
      <c r="B47" s="111">
        <v>411046</v>
      </c>
      <c r="C47" s="111" t="s">
        <v>60</v>
      </c>
      <c r="D47" s="112">
        <v>11</v>
      </c>
      <c r="E47" s="112">
        <v>11</v>
      </c>
      <c r="F47" s="111">
        <v>15</v>
      </c>
      <c r="G47" s="111">
        <v>16</v>
      </c>
      <c r="H47" s="76">
        <v>17</v>
      </c>
      <c r="I47" s="146">
        <v>18</v>
      </c>
      <c r="J47" s="139">
        <v>22.8</v>
      </c>
      <c r="K47" s="159">
        <f t="shared" si="0"/>
        <v>410.40000000000003</v>
      </c>
    </row>
    <row r="48" spans="2:11" s="110" customFormat="1" ht="15" customHeight="1" x14ac:dyDescent="0.25">
      <c r="B48" s="122">
        <v>411047</v>
      </c>
      <c r="C48" s="122" t="s">
        <v>336</v>
      </c>
      <c r="D48" s="115">
        <v>12</v>
      </c>
      <c r="E48" s="115">
        <v>9</v>
      </c>
      <c r="F48" s="114">
        <v>9</v>
      </c>
      <c r="G48" s="114">
        <v>9</v>
      </c>
      <c r="H48" s="60">
        <v>10</v>
      </c>
      <c r="I48" s="147">
        <v>11</v>
      </c>
      <c r="J48" s="140">
        <v>22.8</v>
      </c>
      <c r="K48" s="160">
        <f t="shared" si="0"/>
        <v>250.8</v>
      </c>
    </row>
    <row r="49" spans="1:13" s="110" customFormat="1" ht="15" customHeight="1" x14ac:dyDescent="0.25">
      <c r="B49" s="127">
        <v>411049</v>
      </c>
      <c r="C49" s="127" t="s">
        <v>225</v>
      </c>
      <c r="D49" s="118">
        <v>13</v>
      </c>
      <c r="E49" s="118">
        <v>14</v>
      </c>
      <c r="F49" s="117">
        <v>14</v>
      </c>
      <c r="G49" s="138">
        <v>17</v>
      </c>
      <c r="H49" s="117">
        <v>17</v>
      </c>
      <c r="I49" s="148">
        <v>16</v>
      </c>
      <c r="J49" s="141">
        <v>85</v>
      </c>
      <c r="K49" s="157">
        <f t="shared" si="0"/>
        <v>1360</v>
      </c>
    </row>
    <row r="50" spans="1:13" s="110" customFormat="1" ht="15" customHeight="1" x14ac:dyDescent="0.25">
      <c r="B50" s="120">
        <v>411050</v>
      </c>
      <c r="C50" s="120" t="s">
        <v>226</v>
      </c>
      <c r="D50" s="112">
        <v>14</v>
      </c>
      <c r="E50" s="112"/>
      <c r="F50" s="111"/>
      <c r="G50" s="111"/>
      <c r="H50" s="111"/>
      <c r="I50" s="146"/>
      <c r="J50" s="139">
        <v>0</v>
      </c>
      <c r="K50" s="155">
        <f t="shared" si="0"/>
        <v>0</v>
      </c>
    </row>
    <row r="51" spans="1:13" s="110" customFormat="1" ht="15" customHeight="1" x14ac:dyDescent="0.25">
      <c r="B51" s="122">
        <v>411051</v>
      </c>
      <c r="C51" s="122" t="s">
        <v>258</v>
      </c>
      <c r="D51" s="115">
        <v>21</v>
      </c>
      <c r="E51" s="115">
        <v>21</v>
      </c>
      <c r="F51" s="114">
        <v>21</v>
      </c>
      <c r="G51" s="114">
        <v>21</v>
      </c>
      <c r="H51" s="60">
        <v>22</v>
      </c>
      <c r="I51" s="147">
        <v>23</v>
      </c>
      <c r="J51" s="140">
        <v>2.9</v>
      </c>
      <c r="K51" s="156">
        <f t="shared" si="0"/>
        <v>66.7</v>
      </c>
    </row>
    <row r="52" spans="1:13" s="110" customFormat="1" ht="15" customHeight="1" x14ac:dyDescent="0.25">
      <c r="B52" s="122">
        <v>411052</v>
      </c>
      <c r="C52" s="122" t="s">
        <v>337</v>
      </c>
      <c r="D52" s="115"/>
      <c r="E52" s="115"/>
      <c r="F52" s="114">
        <v>14</v>
      </c>
      <c r="G52" s="114">
        <v>11</v>
      </c>
      <c r="H52" s="60">
        <v>10</v>
      </c>
      <c r="I52" s="147">
        <v>11</v>
      </c>
      <c r="J52" s="140">
        <v>8.6999999999999993</v>
      </c>
      <c r="K52" s="156">
        <f t="shared" si="0"/>
        <v>95.699999999999989</v>
      </c>
    </row>
    <row r="53" spans="1:13" s="92" customFormat="1" ht="31.5" customHeight="1" x14ac:dyDescent="0.25">
      <c r="A53" s="132"/>
      <c r="B53" s="133"/>
      <c r="C53" s="134"/>
      <c r="D53" s="135">
        <f t="shared" ref="D53:I53" si="1">SUM(D2:D52)</f>
        <v>1408</v>
      </c>
      <c r="E53" s="135">
        <f t="shared" si="1"/>
        <v>1402</v>
      </c>
      <c r="F53" s="135">
        <f t="shared" si="1"/>
        <v>1384</v>
      </c>
      <c r="G53" s="135">
        <f t="shared" si="1"/>
        <v>1419</v>
      </c>
      <c r="H53" s="171">
        <f t="shared" si="1"/>
        <v>1402</v>
      </c>
      <c r="I53" s="135">
        <f t="shared" si="1"/>
        <v>1396</v>
      </c>
      <c r="J53" s="132"/>
      <c r="K53" s="161">
        <f>SUM(K2:K52)</f>
        <v>78475.999999999985</v>
      </c>
      <c r="M53" s="144"/>
    </row>
    <row r="54" spans="1:13" ht="15" customHeight="1" x14ac:dyDescent="0.25"/>
  </sheetData>
  <pageMargins left="0.78740157480314965" right="0.78740157480314965" top="0.35" bottom="0.53" header="0.51181102362204722" footer="0.51181102362204722"/>
  <pageSetup paperSize="9" scale="91" orientation="portrait" r:id="rId1"/>
  <headerFooter alignWithMargins="0">
    <oddFooter>&amp;C_x000D_&amp;1#&amp;"Aptos"&amp;10&amp;KFF0000 C2 -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F8A1-122C-4C78-B285-F9ED83F400C4}">
  <sheetPr>
    <pageSetUpPr fitToPage="1"/>
  </sheetPr>
  <dimension ref="A2:N58"/>
  <sheetViews>
    <sheetView tabSelected="1" zoomScaleNormal="100" workbookViewId="0">
      <selection activeCell="H7" sqref="H7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hidden="1" customWidth="1"/>
    <col min="5" max="5" width="9.21875" style="82" hidden="1" customWidth="1"/>
    <col min="6" max="7" width="9.21875" style="52" hidden="1" customWidth="1"/>
    <col min="8" max="8" width="9.21875" style="52" customWidth="1"/>
    <col min="9" max="9" width="9.21875" style="41" customWidth="1"/>
    <col min="10" max="10" width="9.21875" style="52" customWidth="1"/>
    <col min="11" max="11" width="13" style="162" customWidth="1"/>
    <col min="12" max="12" width="11.6640625" style="52" bestFit="1" customWidth="1"/>
    <col min="13" max="16384" width="10.6640625" style="52"/>
  </cols>
  <sheetData>
    <row r="2" spans="1:12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55" t="s">
        <v>338</v>
      </c>
      <c r="I2" s="145" t="s">
        <v>340</v>
      </c>
      <c r="J2" s="46" t="s">
        <v>14</v>
      </c>
      <c r="K2" s="154" t="s">
        <v>341</v>
      </c>
    </row>
    <row r="3" spans="1:12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11">
        <v>74</v>
      </c>
      <c r="I3" s="146">
        <v>72</v>
      </c>
      <c r="J3" s="139">
        <v>85</v>
      </c>
      <c r="K3" s="155">
        <f t="shared" ref="K3:K27" si="0">+I3*J3</f>
        <v>6120</v>
      </c>
    </row>
    <row r="4" spans="1:12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14">
        <v>60</v>
      </c>
      <c r="I4" s="147">
        <v>60</v>
      </c>
      <c r="J4" s="140">
        <v>85</v>
      </c>
      <c r="K4" s="156">
        <f t="shared" si="0"/>
        <v>5100</v>
      </c>
    </row>
    <row r="5" spans="1:12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17">
        <v>48</v>
      </c>
      <c r="I5" s="147">
        <v>50</v>
      </c>
      <c r="J5" s="141">
        <v>85</v>
      </c>
      <c r="K5" s="157">
        <f t="shared" si="0"/>
        <v>4250</v>
      </c>
    </row>
    <row r="6" spans="1:12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11">
        <v>51</v>
      </c>
      <c r="I6" s="146">
        <v>46</v>
      </c>
      <c r="J6" s="139">
        <v>85</v>
      </c>
      <c r="K6" s="155">
        <f t="shared" si="0"/>
        <v>3910</v>
      </c>
    </row>
    <row r="7" spans="1:12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14">
        <f>63-6</f>
        <v>57</v>
      </c>
      <c r="I7" s="147">
        <v>60</v>
      </c>
      <c r="J7" s="140">
        <v>85</v>
      </c>
      <c r="K7" s="156">
        <f t="shared" si="0"/>
        <v>5100</v>
      </c>
      <c r="L7" s="110"/>
    </row>
    <row r="8" spans="1:12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14">
        <v>21</v>
      </c>
      <c r="I8" s="147">
        <v>26</v>
      </c>
      <c r="J8" s="140">
        <v>85</v>
      </c>
      <c r="K8" s="156">
        <f t="shared" si="0"/>
        <v>2210</v>
      </c>
    </row>
    <row r="9" spans="1:12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17">
        <v>35</v>
      </c>
      <c r="I9" s="148">
        <v>37</v>
      </c>
      <c r="J9" s="141">
        <v>85</v>
      </c>
      <c r="K9" s="157">
        <f t="shared" si="0"/>
        <v>3145</v>
      </c>
    </row>
    <row r="10" spans="1:12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76">
        <v>32</v>
      </c>
      <c r="I10" s="146">
        <v>30</v>
      </c>
      <c r="J10" s="139">
        <v>85</v>
      </c>
      <c r="K10" s="155">
        <f t="shared" si="0"/>
        <v>2550</v>
      </c>
    </row>
    <row r="11" spans="1:12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60">
        <v>40</v>
      </c>
      <c r="I11" s="150">
        <v>36</v>
      </c>
      <c r="J11" s="140">
        <v>85</v>
      </c>
      <c r="K11" s="156">
        <f t="shared" si="0"/>
        <v>3060</v>
      </c>
    </row>
    <row r="12" spans="1:12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17">
        <v>23</v>
      </c>
      <c r="I12" s="148">
        <v>24</v>
      </c>
      <c r="J12" s="141">
        <v>85</v>
      </c>
      <c r="K12" s="158">
        <f t="shared" si="0"/>
        <v>2040</v>
      </c>
    </row>
    <row r="13" spans="1:12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11">
        <f>32-11</f>
        <v>21</v>
      </c>
      <c r="I13" s="146">
        <v>23</v>
      </c>
      <c r="J13" s="139">
        <v>85</v>
      </c>
      <c r="K13" s="159">
        <f t="shared" si="0"/>
        <v>1955</v>
      </c>
    </row>
    <row r="14" spans="1:12" s="110" customFormat="1" ht="15" customHeight="1" x14ac:dyDescent="0.25">
      <c r="B14" s="122">
        <v>411018</v>
      </c>
      <c r="C14" s="114" t="s">
        <v>37</v>
      </c>
      <c r="D14" s="115">
        <v>36</v>
      </c>
      <c r="E14" s="115">
        <v>36</v>
      </c>
      <c r="F14" s="114">
        <v>36</v>
      </c>
      <c r="G14" s="114">
        <v>37</v>
      </c>
      <c r="H14" s="114">
        <v>36</v>
      </c>
      <c r="I14" s="147">
        <v>32</v>
      </c>
      <c r="J14" s="140">
        <v>85</v>
      </c>
      <c r="K14" s="156">
        <f t="shared" si="0"/>
        <v>2720</v>
      </c>
      <c r="L14" s="110" t="s">
        <v>233</v>
      </c>
    </row>
    <row r="15" spans="1:12" s="110" customFormat="1" ht="15" customHeight="1" x14ac:dyDescent="0.25">
      <c r="B15" s="127">
        <v>411019</v>
      </c>
      <c r="C15" s="117" t="s">
        <v>38</v>
      </c>
      <c r="D15" s="118">
        <v>22</v>
      </c>
      <c r="E15" s="118">
        <v>23</v>
      </c>
      <c r="F15" s="117">
        <v>24</v>
      </c>
      <c r="G15" s="138">
        <v>25</v>
      </c>
      <c r="H15" s="117">
        <v>26</v>
      </c>
      <c r="I15" s="148">
        <v>26</v>
      </c>
      <c r="J15" s="141">
        <v>85</v>
      </c>
      <c r="K15" s="157">
        <f t="shared" si="0"/>
        <v>2210</v>
      </c>
    </row>
    <row r="16" spans="1:12" s="110" customFormat="1" ht="15" customHeight="1" x14ac:dyDescent="0.25">
      <c r="B16" s="120">
        <v>411020</v>
      </c>
      <c r="C16" s="111" t="s">
        <v>39</v>
      </c>
      <c r="D16" s="112">
        <v>25</v>
      </c>
      <c r="E16" s="112">
        <v>23</v>
      </c>
      <c r="F16" s="111">
        <v>16</v>
      </c>
      <c r="G16" s="111">
        <v>17</v>
      </c>
      <c r="H16" s="111">
        <v>18</v>
      </c>
      <c r="I16" s="146">
        <v>20</v>
      </c>
      <c r="J16" s="139">
        <v>85</v>
      </c>
      <c r="K16" s="155">
        <f t="shared" si="0"/>
        <v>1700</v>
      </c>
      <c r="L16" s="129"/>
    </row>
    <row r="17" spans="1:13" s="110" customFormat="1" ht="15" customHeight="1" x14ac:dyDescent="0.25">
      <c r="B17" s="114">
        <v>411025</v>
      </c>
      <c r="C17" s="114" t="s">
        <v>43</v>
      </c>
      <c r="D17" s="115">
        <v>49</v>
      </c>
      <c r="E17" s="115">
        <v>47</v>
      </c>
      <c r="F17" s="114">
        <v>45</v>
      </c>
      <c r="G17" s="137">
        <v>43</v>
      </c>
      <c r="H17" s="114">
        <v>32</v>
      </c>
      <c r="I17" s="147">
        <v>35</v>
      </c>
      <c r="J17" s="140">
        <v>85</v>
      </c>
      <c r="K17" s="160">
        <f t="shared" si="0"/>
        <v>2975</v>
      </c>
    </row>
    <row r="18" spans="1:13" s="110" customFormat="1" ht="15" customHeight="1" x14ac:dyDescent="0.25">
      <c r="B18" s="117">
        <v>411026</v>
      </c>
      <c r="C18" s="117" t="s">
        <v>44</v>
      </c>
      <c r="D18" s="118">
        <v>25</v>
      </c>
      <c r="E18" s="118">
        <v>24</v>
      </c>
      <c r="F18" s="117">
        <v>24</v>
      </c>
      <c r="G18" s="117">
        <v>25</v>
      </c>
      <c r="H18" s="117">
        <v>25</v>
      </c>
      <c r="I18" s="148">
        <v>25</v>
      </c>
      <c r="J18" s="141">
        <v>85</v>
      </c>
      <c r="K18" s="158">
        <f t="shared" si="0"/>
        <v>2125</v>
      </c>
    </row>
    <row r="19" spans="1:13" s="110" customFormat="1" ht="15" customHeight="1" x14ac:dyDescent="0.25">
      <c r="B19" s="111">
        <v>411027</v>
      </c>
      <c r="C19" s="111" t="s">
        <v>45</v>
      </c>
      <c r="D19" s="112">
        <v>39</v>
      </c>
      <c r="E19" s="112">
        <v>25</v>
      </c>
      <c r="F19" s="111">
        <v>18</v>
      </c>
      <c r="G19" s="136">
        <v>20</v>
      </c>
      <c r="H19" s="111">
        <v>23</v>
      </c>
      <c r="I19" s="146">
        <v>25</v>
      </c>
      <c r="J19" s="139">
        <v>85</v>
      </c>
      <c r="K19" s="159">
        <f t="shared" si="0"/>
        <v>2125</v>
      </c>
      <c r="M19" s="92"/>
    </row>
    <row r="20" spans="1:13" s="110" customFormat="1" ht="15" customHeight="1" x14ac:dyDescent="0.25">
      <c r="B20" s="114">
        <v>411028</v>
      </c>
      <c r="C20" s="114" t="s">
        <v>46</v>
      </c>
      <c r="D20" s="115">
        <v>38</v>
      </c>
      <c r="E20" s="115">
        <v>37</v>
      </c>
      <c r="F20" s="114">
        <v>37</v>
      </c>
      <c r="G20" s="137">
        <v>39</v>
      </c>
      <c r="H20" s="114">
        <v>37</v>
      </c>
      <c r="I20" s="147">
        <v>33</v>
      </c>
      <c r="J20" s="140">
        <v>85</v>
      </c>
      <c r="K20" s="160">
        <f t="shared" si="0"/>
        <v>2805</v>
      </c>
    </row>
    <row r="21" spans="1:13" s="110" customFormat="1" ht="15" customHeight="1" x14ac:dyDescent="0.25">
      <c r="B21" s="117">
        <v>411033</v>
      </c>
      <c r="C21" s="117" t="s">
        <v>51</v>
      </c>
      <c r="D21" s="118">
        <v>37</v>
      </c>
      <c r="E21" s="118">
        <v>36</v>
      </c>
      <c r="F21" s="117">
        <v>33</v>
      </c>
      <c r="G21" s="138">
        <v>29</v>
      </c>
      <c r="H21" s="117">
        <v>31</v>
      </c>
      <c r="I21" s="148">
        <v>36</v>
      </c>
      <c r="J21" s="141">
        <v>85</v>
      </c>
      <c r="K21" s="158">
        <f t="shared" si="0"/>
        <v>3060</v>
      </c>
    </row>
    <row r="22" spans="1:13" s="110" customFormat="1" ht="15" customHeight="1" x14ac:dyDescent="0.25">
      <c r="B22" s="111">
        <v>411034</v>
      </c>
      <c r="C22" s="111" t="s">
        <v>52</v>
      </c>
      <c r="D22" s="112">
        <v>20</v>
      </c>
      <c r="E22" s="112">
        <v>20</v>
      </c>
      <c r="F22" s="111">
        <v>15</v>
      </c>
      <c r="G22" s="111">
        <v>18</v>
      </c>
      <c r="H22" s="76">
        <v>19</v>
      </c>
      <c r="I22" s="146">
        <v>17</v>
      </c>
      <c r="J22" s="139">
        <v>85</v>
      </c>
      <c r="K22" s="159">
        <f t="shared" si="0"/>
        <v>1445</v>
      </c>
    </row>
    <row r="23" spans="1:13" s="110" customFormat="1" ht="15" customHeight="1" x14ac:dyDescent="0.25">
      <c r="B23" s="114">
        <v>411035</v>
      </c>
      <c r="C23" s="114" t="s">
        <v>53</v>
      </c>
      <c r="D23" s="115">
        <v>24</v>
      </c>
      <c r="E23" s="115">
        <v>20</v>
      </c>
      <c r="F23" s="114">
        <v>20</v>
      </c>
      <c r="G23" s="114">
        <v>21</v>
      </c>
      <c r="H23" s="60">
        <v>19</v>
      </c>
      <c r="I23" s="147">
        <v>20</v>
      </c>
      <c r="J23" s="140">
        <v>85</v>
      </c>
      <c r="K23" s="160">
        <f t="shared" si="0"/>
        <v>1700</v>
      </c>
    </row>
    <row r="24" spans="1:13" s="110" customFormat="1" ht="15" customHeight="1" x14ac:dyDescent="0.25">
      <c r="B24" s="117">
        <v>411037</v>
      </c>
      <c r="C24" s="117" t="s">
        <v>54</v>
      </c>
      <c r="D24" s="118">
        <v>22</v>
      </c>
      <c r="E24" s="118">
        <v>18</v>
      </c>
      <c r="F24" s="117">
        <v>18</v>
      </c>
      <c r="G24" s="117">
        <v>20</v>
      </c>
      <c r="H24" s="117">
        <v>20</v>
      </c>
      <c r="I24" s="148">
        <v>19</v>
      </c>
      <c r="J24" s="141">
        <v>85</v>
      </c>
      <c r="K24" s="158">
        <f t="shared" si="0"/>
        <v>1615</v>
      </c>
    </row>
    <row r="25" spans="1:13" s="110" customFormat="1" ht="15" customHeight="1" x14ac:dyDescent="0.25">
      <c r="B25" s="111">
        <v>411038</v>
      </c>
      <c r="C25" s="111" t="s">
        <v>320</v>
      </c>
      <c r="D25" s="112"/>
      <c r="E25" s="112">
        <v>9</v>
      </c>
      <c r="F25" s="111">
        <v>12</v>
      </c>
      <c r="G25" s="136">
        <v>13</v>
      </c>
      <c r="H25" s="111">
        <v>15</v>
      </c>
      <c r="I25" s="146">
        <v>16</v>
      </c>
      <c r="J25" s="139">
        <v>85</v>
      </c>
      <c r="K25" s="159">
        <f t="shared" si="0"/>
        <v>1360</v>
      </c>
    </row>
    <row r="26" spans="1:13" s="110" customFormat="1" ht="15" customHeight="1" x14ac:dyDescent="0.25">
      <c r="B26" s="114">
        <v>411039</v>
      </c>
      <c r="C26" s="114" t="s">
        <v>55</v>
      </c>
      <c r="D26" s="164">
        <v>9</v>
      </c>
      <c r="E26" s="164">
        <v>10</v>
      </c>
      <c r="F26" s="165">
        <v>9</v>
      </c>
      <c r="G26" s="165">
        <v>10</v>
      </c>
      <c r="H26" s="172">
        <v>11</v>
      </c>
      <c r="I26" s="173">
        <v>11</v>
      </c>
      <c r="J26" s="167">
        <v>85</v>
      </c>
      <c r="K26" s="160">
        <f t="shared" si="0"/>
        <v>935</v>
      </c>
    </row>
    <row r="27" spans="1:13" s="110" customFormat="1" ht="15" customHeight="1" x14ac:dyDescent="0.25">
      <c r="B27" s="127">
        <v>411049</v>
      </c>
      <c r="C27" s="127" t="s">
        <v>225</v>
      </c>
      <c r="D27" s="118">
        <v>13</v>
      </c>
      <c r="E27" s="118">
        <v>14</v>
      </c>
      <c r="F27" s="117">
        <v>14</v>
      </c>
      <c r="G27" s="138">
        <v>17</v>
      </c>
      <c r="H27" s="117">
        <v>17</v>
      </c>
      <c r="I27" s="148">
        <v>16</v>
      </c>
      <c r="J27" s="141">
        <v>85</v>
      </c>
      <c r="K27" s="157">
        <f t="shared" si="0"/>
        <v>1360</v>
      </c>
    </row>
    <row r="28" spans="1:13" s="92" customFormat="1" ht="15" customHeight="1" x14ac:dyDescent="0.25">
      <c r="B28" s="174"/>
      <c r="C28" s="174" t="s">
        <v>342</v>
      </c>
      <c r="D28" s="163"/>
      <c r="E28" s="163"/>
      <c r="F28" s="147"/>
      <c r="G28" s="175"/>
      <c r="H28" s="147">
        <f>SUM(H3:H27)</f>
        <v>791</v>
      </c>
      <c r="I28" s="147">
        <f>SUM(I3:I27)</f>
        <v>795</v>
      </c>
      <c r="J28" s="176"/>
      <c r="K28" s="168">
        <f>SUM(K3:K27)</f>
        <v>67575</v>
      </c>
    </row>
    <row r="29" spans="1:13" s="110" customFormat="1" ht="15" customHeight="1" x14ac:dyDescent="0.25">
      <c r="B29" s="122"/>
      <c r="C29" s="122"/>
      <c r="D29" s="115"/>
      <c r="E29" s="115"/>
      <c r="F29" s="114"/>
      <c r="G29" s="137"/>
      <c r="H29" s="114"/>
      <c r="I29" s="147"/>
      <c r="J29" s="140"/>
      <c r="K29" s="156"/>
    </row>
    <row r="30" spans="1:13" s="92" customFormat="1" ht="18.45" customHeight="1" x14ac:dyDescent="0.25">
      <c r="A30" s="110"/>
      <c r="B30" s="122">
        <v>411012</v>
      </c>
      <c r="C30" s="114" t="s">
        <v>31</v>
      </c>
      <c r="D30" s="115">
        <v>14</v>
      </c>
      <c r="E30" s="115">
        <v>44</v>
      </c>
      <c r="F30" s="114">
        <v>46</v>
      </c>
      <c r="G30" s="114">
        <v>47</v>
      </c>
      <c r="H30" s="60">
        <v>48</v>
      </c>
      <c r="I30" s="150">
        <v>49</v>
      </c>
      <c r="J30" s="140">
        <v>22.8</v>
      </c>
      <c r="K30" s="160">
        <f t="shared" ref="K30:K48" si="1">+I30*J30</f>
        <v>1117.2</v>
      </c>
      <c r="L30" s="110"/>
      <c r="M30" s="110"/>
    </row>
    <row r="31" spans="1:13" s="110" customFormat="1" ht="15" customHeight="1" x14ac:dyDescent="0.25">
      <c r="B31" s="111">
        <v>411013</v>
      </c>
      <c r="C31" s="111" t="s">
        <v>32</v>
      </c>
      <c r="D31" s="112">
        <v>39</v>
      </c>
      <c r="E31" s="112">
        <v>38</v>
      </c>
      <c r="F31" s="111">
        <v>42</v>
      </c>
      <c r="G31" s="136">
        <v>45</v>
      </c>
      <c r="H31" s="111">
        <v>40</v>
      </c>
      <c r="I31" s="146">
        <v>36</v>
      </c>
      <c r="J31" s="139">
        <v>22.8</v>
      </c>
      <c r="K31" s="159">
        <f t="shared" si="1"/>
        <v>820.80000000000007</v>
      </c>
    </row>
    <row r="32" spans="1:13" s="110" customFormat="1" ht="15" customHeight="1" x14ac:dyDescent="0.25">
      <c r="B32" s="114">
        <v>411014</v>
      </c>
      <c r="C32" s="114" t="s">
        <v>33</v>
      </c>
      <c r="D32" s="115">
        <v>26</v>
      </c>
      <c r="E32" s="115">
        <v>29</v>
      </c>
      <c r="F32" s="114">
        <v>33</v>
      </c>
      <c r="G32" s="137">
        <v>42</v>
      </c>
      <c r="H32" s="60">
        <v>43</v>
      </c>
      <c r="I32" s="150">
        <v>42</v>
      </c>
      <c r="J32" s="140">
        <v>22.8</v>
      </c>
      <c r="K32" s="160">
        <f t="shared" si="1"/>
        <v>957.6</v>
      </c>
    </row>
    <row r="33" spans="2:11" s="110" customFormat="1" ht="15" customHeight="1" x14ac:dyDescent="0.25">
      <c r="B33" s="117">
        <v>411015</v>
      </c>
      <c r="C33" s="117" t="s">
        <v>34</v>
      </c>
      <c r="D33" s="118">
        <v>24</v>
      </c>
      <c r="E33" s="118">
        <v>24</v>
      </c>
      <c r="F33" s="117">
        <v>24</v>
      </c>
      <c r="G33" s="138">
        <v>23</v>
      </c>
      <c r="H33" s="63">
        <v>24</v>
      </c>
      <c r="I33" s="151">
        <v>25</v>
      </c>
      <c r="J33" s="141">
        <v>22.8</v>
      </c>
      <c r="K33" s="158">
        <f t="shared" si="1"/>
        <v>570</v>
      </c>
    </row>
    <row r="34" spans="2:11" s="110" customFormat="1" ht="15" customHeight="1" x14ac:dyDescent="0.25">
      <c r="B34" s="120">
        <v>411016</v>
      </c>
      <c r="C34" s="111" t="s">
        <v>35</v>
      </c>
      <c r="D34" s="112">
        <v>37</v>
      </c>
      <c r="E34" s="112">
        <v>36</v>
      </c>
      <c r="F34" s="111">
        <v>31</v>
      </c>
      <c r="G34" s="111">
        <v>28</v>
      </c>
      <c r="H34" s="76">
        <v>29</v>
      </c>
      <c r="I34" s="147">
        <v>29</v>
      </c>
      <c r="J34" s="139">
        <v>22.8</v>
      </c>
      <c r="K34" s="159">
        <f t="shared" si="1"/>
        <v>661.2</v>
      </c>
    </row>
    <row r="35" spans="2:11" s="110" customFormat="1" ht="15" customHeight="1" x14ac:dyDescent="0.25">
      <c r="B35" s="122">
        <v>411017</v>
      </c>
      <c r="C35" s="114" t="s">
        <v>36</v>
      </c>
      <c r="D35" s="115">
        <v>25</v>
      </c>
      <c r="E35" s="115">
        <v>29</v>
      </c>
      <c r="F35" s="114">
        <v>25</v>
      </c>
      <c r="G35" s="137">
        <v>25</v>
      </c>
      <c r="H35" s="114">
        <v>23</v>
      </c>
      <c r="I35" s="147">
        <v>26</v>
      </c>
      <c r="J35" s="140">
        <v>22.8</v>
      </c>
      <c r="K35" s="160">
        <f t="shared" si="1"/>
        <v>592.80000000000007</v>
      </c>
    </row>
    <row r="36" spans="2:11" s="110" customFormat="1" ht="15" customHeight="1" x14ac:dyDescent="0.25">
      <c r="B36" s="117">
        <v>411021</v>
      </c>
      <c r="C36" s="117" t="s">
        <v>40</v>
      </c>
      <c r="D36" s="118">
        <v>41</v>
      </c>
      <c r="E36" s="118">
        <v>40</v>
      </c>
      <c r="F36" s="117">
        <v>39</v>
      </c>
      <c r="G36" s="138">
        <v>41</v>
      </c>
      <c r="H36" s="117">
        <v>35</v>
      </c>
      <c r="I36" s="148">
        <v>36</v>
      </c>
      <c r="J36" s="141">
        <v>22.8</v>
      </c>
      <c r="K36" s="158">
        <f t="shared" si="1"/>
        <v>820.80000000000007</v>
      </c>
    </row>
    <row r="37" spans="2:11" s="110" customFormat="1" ht="15" customHeight="1" x14ac:dyDescent="0.25">
      <c r="B37" s="111">
        <v>411022</v>
      </c>
      <c r="C37" s="111" t="s">
        <v>41</v>
      </c>
      <c r="D37" s="112">
        <v>9</v>
      </c>
      <c r="E37" s="112">
        <v>9</v>
      </c>
      <c r="F37" s="111">
        <v>9</v>
      </c>
      <c r="G37" s="111">
        <v>10</v>
      </c>
      <c r="H37" s="111">
        <v>10</v>
      </c>
      <c r="I37" s="146">
        <v>10</v>
      </c>
      <c r="J37" s="139">
        <v>22.8</v>
      </c>
      <c r="K37" s="159">
        <f t="shared" si="1"/>
        <v>228</v>
      </c>
    </row>
    <row r="38" spans="2:11" s="110" customFormat="1" ht="15" customHeight="1" x14ac:dyDescent="0.25">
      <c r="B38" s="114">
        <v>411023</v>
      </c>
      <c r="C38" s="114" t="s">
        <v>329</v>
      </c>
      <c r="D38" s="115">
        <v>13</v>
      </c>
      <c r="E38" s="115">
        <v>13</v>
      </c>
      <c r="F38" s="114">
        <v>11</v>
      </c>
      <c r="G38" s="137">
        <v>12</v>
      </c>
      <c r="H38" s="114">
        <v>14</v>
      </c>
      <c r="I38" s="147">
        <v>15</v>
      </c>
      <c r="J38" s="140">
        <v>22.8</v>
      </c>
      <c r="K38" s="160">
        <f t="shared" si="1"/>
        <v>342</v>
      </c>
    </row>
    <row r="39" spans="2:11" s="110" customFormat="1" ht="15" customHeight="1" x14ac:dyDescent="0.25">
      <c r="B39" s="117">
        <v>411029</v>
      </c>
      <c r="C39" s="117" t="s">
        <v>47</v>
      </c>
      <c r="D39" s="118">
        <v>42</v>
      </c>
      <c r="E39" s="118">
        <v>41</v>
      </c>
      <c r="F39" s="117">
        <v>38</v>
      </c>
      <c r="G39" s="138">
        <v>39</v>
      </c>
      <c r="H39" s="117">
        <f>26+13</f>
        <v>39</v>
      </c>
      <c r="I39" s="151">
        <v>39</v>
      </c>
      <c r="J39" s="141">
        <v>22.8</v>
      </c>
      <c r="K39" s="158">
        <f t="shared" si="1"/>
        <v>889.2</v>
      </c>
    </row>
    <row r="40" spans="2:11" s="110" customFormat="1" ht="15" customHeight="1" x14ac:dyDescent="0.25">
      <c r="B40" s="111">
        <v>411030</v>
      </c>
      <c r="C40" s="111" t="s">
        <v>48</v>
      </c>
      <c r="D40" s="112">
        <v>23</v>
      </c>
      <c r="E40" s="112">
        <v>19</v>
      </c>
      <c r="F40" s="111">
        <v>19</v>
      </c>
      <c r="G40" s="111">
        <v>20</v>
      </c>
      <c r="H40" s="76">
        <v>21</v>
      </c>
      <c r="I40" s="149">
        <v>22</v>
      </c>
      <c r="J40" s="139">
        <v>22.8</v>
      </c>
      <c r="K40" s="159">
        <f t="shared" si="1"/>
        <v>501.6</v>
      </c>
    </row>
    <row r="41" spans="2:11" s="110" customFormat="1" ht="15" customHeight="1" x14ac:dyDescent="0.25">
      <c r="B41" s="114">
        <v>411032</v>
      </c>
      <c r="C41" s="114" t="s">
        <v>50</v>
      </c>
      <c r="D41" s="115">
        <v>22</v>
      </c>
      <c r="E41" s="115">
        <v>21</v>
      </c>
      <c r="F41" s="114">
        <v>24</v>
      </c>
      <c r="G41" s="137">
        <v>24</v>
      </c>
      <c r="H41" s="60">
        <v>25</v>
      </c>
      <c r="I41" s="147">
        <v>26</v>
      </c>
      <c r="J41" s="140">
        <v>22.8</v>
      </c>
      <c r="K41" s="160">
        <f t="shared" si="1"/>
        <v>592.80000000000007</v>
      </c>
    </row>
    <row r="42" spans="2:11" s="110" customFormat="1" ht="15" customHeight="1" x14ac:dyDescent="0.25">
      <c r="B42" s="117">
        <v>411036</v>
      </c>
      <c r="C42" s="117" t="s">
        <v>321</v>
      </c>
      <c r="D42" s="118">
        <v>0</v>
      </c>
      <c r="E42" s="118">
        <v>7</v>
      </c>
      <c r="F42" s="117">
        <v>7</v>
      </c>
      <c r="G42" s="117">
        <v>8</v>
      </c>
      <c r="H42" s="63">
        <v>9</v>
      </c>
      <c r="I42" s="148">
        <v>8</v>
      </c>
      <c r="J42" s="141">
        <v>22.8</v>
      </c>
      <c r="K42" s="158">
        <f t="shared" si="1"/>
        <v>182.4</v>
      </c>
    </row>
    <row r="43" spans="2:11" s="110" customFormat="1" ht="15" customHeight="1" x14ac:dyDescent="0.25">
      <c r="B43" s="111">
        <v>411040</v>
      </c>
      <c r="C43" s="111" t="s">
        <v>146</v>
      </c>
      <c r="D43" s="112">
        <v>12</v>
      </c>
      <c r="E43" s="112">
        <v>12</v>
      </c>
      <c r="F43" s="111">
        <v>12</v>
      </c>
      <c r="G43" s="136">
        <v>19</v>
      </c>
      <c r="H43" s="76">
        <v>20</v>
      </c>
      <c r="I43" s="146">
        <v>0</v>
      </c>
      <c r="J43" s="139">
        <v>22.8</v>
      </c>
      <c r="K43" s="159">
        <f t="shared" si="1"/>
        <v>0</v>
      </c>
    </row>
    <row r="44" spans="2:11" s="110" customFormat="1" ht="15" customHeight="1" x14ac:dyDescent="0.25">
      <c r="B44" s="114">
        <v>411041</v>
      </c>
      <c r="C44" s="114" t="s">
        <v>56</v>
      </c>
      <c r="D44" s="115">
        <v>16</v>
      </c>
      <c r="E44" s="115">
        <v>16</v>
      </c>
      <c r="F44" s="114">
        <v>16</v>
      </c>
      <c r="G44" s="114">
        <v>17</v>
      </c>
      <c r="H44" s="114">
        <v>24</v>
      </c>
      <c r="I44" s="147">
        <v>25</v>
      </c>
      <c r="J44" s="140">
        <v>22.8</v>
      </c>
      <c r="K44" s="160">
        <f t="shared" si="1"/>
        <v>570</v>
      </c>
    </row>
    <row r="45" spans="2:11" s="110" customFormat="1" ht="15" customHeight="1" x14ac:dyDescent="0.25">
      <c r="B45" s="117">
        <v>411042</v>
      </c>
      <c r="C45" s="117" t="s">
        <v>57</v>
      </c>
      <c r="D45" s="118">
        <v>24</v>
      </c>
      <c r="E45" s="118">
        <v>24</v>
      </c>
      <c r="F45" s="117">
        <v>23</v>
      </c>
      <c r="G45" s="117">
        <v>24</v>
      </c>
      <c r="H45" s="63">
        <v>25</v>
      </c>
      <c r="I45" s="148">
        <v>25</v>
      </c>
      <c r="J45" s="141">
        <v>22.8</v>
      </c>
      <c r="K45" s="158">
        <f t="shared" si="1"/>
        <v>570</v>
      </c>
    </row>
    <row r="46" spans="2:11" s="110" customFormat="1" ht="15" customHeight="1" x14ac:dyDescent="0.25">
      <c r="B46" s="111">
        <v>411043</v>
      </c>
      <c r="C46" s="111" t="s">
        <v>58</v>
      </c>
      <c r="D46" s="112">
        <v>14</v>
      </c>
      <c r="E46" s="112">
        <v>14</v>
      </c>
      <c r="F46" s="111">
        <v>14</v>
      </c>
      <c r="G46" s="111">
        <v>15</v>
      </c>
      <c r="H46" s="111">
        <v>15</v>
      </c>
      <c r="I46" s="146">
        <v>15</v>
      </c>
      <c r="J46" s="139">
        <v>22.8</v>
      </c>
      <c r="K46" s="159">
        <f t="shared" si="1"/>
        <v>342</v>
      </c>
    </row>
    <row r="47" spans="2:11" s="110" customFormat="1" ht="15" customHeight="1" x14ac:dyDescent="0.25">
      <c r="B47" s="114">
        <v>411046</v>
      </c>
      <c r="C47" s="114" t="s">
        <v>60</v>
      </c>
      <c r="D47" s="115">
        <v>11</v>
      </c>
      <c r="E47" s="115">
        <v>11</v>
      </c>
      <c r="F47" s="114">
        <v>15</v>
      </c>
      <c r="G47" s="114">
        <v>16</v>
      </c>
      <c r="H47" s="60">
        <v>17</v>
      </c>
      <c r="I47" s="147">
        <v>18</v>
      </c>
      <c r="J47" s="140">
        <v>22.8</v>
      </c>
      <c r="K47" s="160">
        <f t="shared" si="1"/>
        <v>410.40000000000003</v>
      </c>
    </row>
    <row r="48" spans="2:11" s="110" customFormat="1" ht="15" customHeight="1" x14ac:dyDescent="0.25">
      <c r="B48" s="127">
        <v>411047</v>
      </c>
      <c r="C48" s="127" t="s">
        <v>336</v>
      </c>
      <c r="D48" s="118">
        <v>12</v>
      </c>
      <c r="E48" s="118">
        <v>9</v>
      </c>
      <c r="F48" s="117">
        <v>9</v>
      </c>
      <c r="G48" s="117">
        <v>9</v>
      </c>
      <c r="H48" s="63">
        <v>10</v>
      </c>
      <c r="I48" s="148">
        <v>11</v>
      </c>
      <c r="J48" s="141">
        <v>22.8</v>
      </c>
      <c r="K48" s="158">
        <f t="shared" si="1"/>
        <v>250.8</v>
      </c>
    </row>
    <row r="49" spans="1:14" s="92" customFormat="1" ht="15" customHeight="1" x14ac:dyDescent="0.25">
      <c r="B49" s="174"/>
      <c r="C49" s="174" t="s">
        <v>343</v>
      </c>
      <c r="D49" s="163"/>
      <c r="E49" s="163"/>
      <c r="F49" s="147"/>
      <c r="G49" s="175"/>
      <c r="H49" s="147">
        <f>SUM(H30:H48)</f>
        <v>471</v>
      </c>
      <c r="I49" s="147">
        <f>SUM(I30:I48)</f>
        <v>457</v>
      </c>
      <c r="J49" s="176"/>
      <c r="K49" s="168">
        <f>SUM(K30:K48)</f>
        <v>10419.6</v>
      </c>
    </row>
    <row r="50" spans="1:14" s="110" customFormat="1" ht="15" customHeight="1" x14ac:dyDescent="0.25">
      <c r="B50" s="122"/>
      <c r="C50" s="122"/>
      <c r="D50" s="115"/>
      <c r="E50" s="115"/>
      <c r="F50" s="114"/>
      <c r="G50" s="114"/>
      <c r="H50" s="60"/>
      <c r="I50" s="147"/>
      <c r="J50" s="140"/>
      <c r="K50" s="160"/>
    </row>
    <row r="51" spans="1:14" s="110" customFormat="1" ht="15" customHeight="1" x14ac:dyDescent="0.25">
      <c r="B51" s="120">
        <v>411052</v>
      </c>
      <c r="C51" s="120" t="s">
        <v>337</v>
      </c>
      <c r="D51" s="112"/>
      <c r="E51" s="112"/>
      <c r="F51" s="111">
        <v>14</v>
      </c>
      <c r="G51" s="111">
        <v>11</v>
      </c>
      <c r="H51" s="76">
        <v>10</v>
      </c>
      <c r="I51" s="146">
        <v>11</v>
      </c>
      <c r="J51" s="139">
        <v>8.6999999999999993</v>
      </c>
      <c r="K51" s="155">
        <f t="shared" ref="K51:K56" si="2">+I51*J51</f>
        <v>95.699999999999989</v>
      </c>
    </row>
    <row r="52" spans="1:14" s="110" customFormat="1" ht="15" customHeight="1" x14ac:dyDescent="0.25">
      <c r="B52" s="114">
        <v>411044</v>
      </c>
      <c r="C52" s="114" t="s">
        <v>86</v>
      </c>
      <c r="D52" s="115">
        <v>72</v>
      </c>
      <c r="E52" s="115">
        <v>75</v>
      </c>
      <c r="F52" s="114">
        <v>75</v>
      </c>
      <c r="G52" s="114">
        <v>75</v>
      </c>
      <c r="H52" s="60">
        <v>76</v>
      </c>
      <c r="I52" s="147">
        <v>77</v>
      </c>
      <c r="J52" s="140">
        <v>2.9</v>
      </c>
      <c r="K52" s="160">
        <f t="shared" si="2"/>
        <v>223.29999999999998</v>
      </c>
    </row>
    <row r="53" spans="1:14" s="110" customFormat="1" ht="15" customHeight="1" x14ac:dyDescent="0.25">
      <c r="B53" s="117">
        <v>411045</v>
      </c>
      <c r="C53" s="117" t="s">
        <v>59</v>
      </c>
      <c r="D53" s="118">
        <v>31</v>
      </c>
      <c r="E53" s="118">
        <v>31</v>
      </c>
      <c r="F53" s="117">
        <v>31</v>
      </c>
      <c r="G53" s="117">
        <v>31</v>
      </c>
      <c r="H53" s="63">
        <v>32</v>
      </c>
      <c r="I53" s="148">
        <v>33</v>
      </c>
      <c r="J53" s="141">
        <v>2.9</v>
      </c>
      <c r="K53" s="158">
        <f t="shared" si="2"/>
        <v>95.7</v>
      </c>
    </row>
    <row r="54" spans="1:14" s="110" customFormat="1" ht="15" customHeight="1" x14ac:dyDescent="0.25">
      <c r="B54" s="120">
        <v>411051</v>
      </c>
      <c r="C54" s="120" t="s">
        <v>258</v>
      </c>
      <c r="D54" s="112">
        <v>21</v>
      </c>
      <c r="E54" s="112">
        <v>21</v>
      </c>
      <c r="F54" s="111">
        <v>21</v>
      </c>
      <c r="G54" s="111">
        <v>21</v>
      </c>
      <c r="H54" s="76">
        <v>22</v>
      </c>
      <c r="I54" s="146">
        <v>23</v>
      </c>
      <c r="J54" s="139">
        <v>2.9</v>
      </c>
      <c r="K54" s="155">
        <f t="shared" si="2"/>
        <v>66.7</v>
      </c>
    </row>
    <row r="55" spans="1:14" s="110" customFormat="1" ht="15" customHeight="1" x14ac:dyDescent="0.25">
      <c r="B55" s="122">
        <v>411050</v>
      </c>
      <c r="C55" s="122" t="s">
        <v>226</v>
      </c>
      <c r="D55" s="115">
        <v>14</v>
      </c>
      <c r="E55" s="115"/>
      <c r="F55" s="114"/>
      <c r="G55" s="114"/>
      <c r="H55" s="114"/>
      <c r="I55" s="147"/>
      <c r="J55" s="140">
        <v>0</v>
      </c>
      <c r="K55" s="156">
        <f t="shared" si="2"/>
        <v>0</v>
      </c>
    </row>
    <row r="56" spans="1:14" s="110" customFormat="1" ht="15" customHeight="1" x14ac:dyDescent="0.25">
      <c r="B56" s="114">
        <v>411031</v>
      </c>
      <c r="C56" s="114"/>
      <c r="D56" s="115"/>
      <c r="E56" s="115"/>
      <c r="F56" s="115"/>
      <c r="G56" s="115"/>
      <c r="H56" s="115"/>
      <c r="I56" s="163"/>
      <c r="J56" s="140"/>
      <c r="K56" s="160">
        <f t="shared" si="2"/>
        <v>0</v>
      </c>
    </row>
    <row r="57" spans="1:14" s="92" customFormat="1" ht="31.5" customHeight="1" x14ac:dyDescent="0.25">
      <c r="A57" s="132"/>
      <c r="B57" s="133"/>
      <c r="C57" s="134"/>
      <c r="D57" s="135">
        <f t="shared" ref="D57:I57" si="3">SUM(D2:D56)</f>
        <v>1408</v>
      </c>
      <c r="E57" s="135">
        <f t="shared" si="3"/>
        <v>1402</v>
      </c>
      <c r="F57" s="135">
        <f t="shared" si="3"/>
        <v>1384</v>
      </c>
      <c r="G57" s="135">
        <f t="shared" si="3"/>
        <v>1419</v>
      </c>
      <c r="H57" s="171">
        <f t="shared" si="3"/>
        <v>2664</v>
      </c>
      <c r="I57" s="135">
        <f t="shared" si="3"/>
        <v>2648</v>
      </c>
      <c r="J57" s="132"/>
      <c r="K57" s="161">
        <f>+SUM(K51:K54)+K49+K28</f>
        <v>78476</v>
      </c>
      <c r="M57" s="144">
        <f>+'Synthèse 2025'!K53</f>
        <v>78475.999999999985</v>
      </c>
      <c r="N57" s="144">
        <f>+K57-M57</f>
        <v>0</v>
      </c>
    </row>
    <row r="58" spans="1:14" ht="15" customHeight="1" x14ac:dyDescent="0.25"/>
  </sheetData>
  <sortState xmlns:xlrd2="http://schemas.microsoft.com/office/spreadsheetml/2017/richdata2" ref="A3:M56">
    <sortCondition descending="1" ref="J3:J56"/>
  </sortState>
  <pageMargins left="0.78740157480314965" right="0.78740157480314965" top="0.35" bottom="0.53" header="0.51181102362204722" footer="0.51181102362204722"/>
  <pageSetup paperSize="9" scale="91" orientation="portrait" r:id="rId1"/>
  <headerFooter alignWithMargins="0">
    <oddFooter>&amp;C_x000D_&amp;1#&amp;"Aptos"&amp;10&amp;KFF0000 C2 -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806-9D17-4337-8375-2856AE5EFC0E}">
  <sheetPr>
    <pageSetUpPr fitToPage="1"/>
  </sheetPr>
  <dimension ref="A2:L60"/>
  <sheetViews>
    <sheetView zoomScaleNormal="100" workbookViewId="0">
      <selection activeCell="H3" sqref="H3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hidden="1" customWidth="1"/>
    <col min="5" max="5" width="9.21875" style="82" customWidth="1"/>
    <col min="6" max="7" width="9.21875" style="52" customWidth="1"/>
    <col min="8" max="8" width="9.21875" style="41" customWidth="1"/>
    <col min="9" max="9" width="9.21875" style="52" customWidth="1"/>
    <col min="10" max="10" width="13" style="162" customWidth="1"/>
    <col min="11" max="11" width="11.6640625" style="52" bestFit="1" customWidth="1"/>
    <col min="12" max="16384" width="10.6640625" style="52"/>
  </cols>
  <sheetData>
    <row r="2" spans="1:11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145" t="s">
        <v>338</v>
      </c>
      <c r="I2" s="46" t="s">
        <v>14</v>
      </c>
      <c r="J2" s="154" t="s">
        <v>339</v>
      </c>
    </row>
    <row r="3" spans="1:11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46">
        <v>74</v>
      </c>
      <c r="I3" s="139">
        <v>85</v>
      </c>
      <c r="J3" s="155">
        <f t="shared" ref="J3:J52" si="0">+H3*I3</f>
        <v>6290</v>
      </c>
    </row>
    <row r="4" spans="1:11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47">
        <v>60</v>
      </c>
      <c r="I4" s="140">
        <v>85</v>
      </c>
      <c r="J4" s="156">
        <f t="shared" si="0"/>
        <v>5100</v>
      </c>
    </row>
    <row r="5" spans="1:11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48">
        <v>48</v>
      </c>
      <c r="I5" s="141">
        <v>85</v>
      </c>
      <c r="J5" s="157">
        <f t="shared" si="0"/>
        <v>4080</v>
      </c>
    </row>
    <row r="6" spans="1:11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46">
        <v>51</v>
      </c>
      <c r="I6" s="139">
        <v>85</v>
      </c>
      <c r="J6" s="155">
        <f t="shared" si="0"/>
        <v>4335</v>
      </c>
    </row>
    <row r="7" spans="1:11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47">
        <f>63-6</f>
        <v>57</v>
      </c>
      <c r="I7" s="140">
        <v>85</v>
      </c>
      <c r="J7" s="156">
        <f t="shared" si="0"/>
        <v>4845</v>
      </c>
      <c r="K7" s="110"/>
    </row>
    <row r="8" spans="1:11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47">
        <v>21</v>
      </c>
      <c r="I8" s="140">
        <v>85</v>
      </c>
      <c r="J8" s="156">
        <f t="shared" si="0"/>
        <v>1785</v>
      </c>
    </row>
    <row r="9" spans="1:11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48">
        <v>35</v>
      </c>
      <c r="I9" s="141">
        <v>85</v>
      </c>
      <c r="J9" s="157">
        <f t="shared" si="0"/>
        <v>2975</v>
      </c>
    </row>
    <row r="10" spans="1:11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149">
        <v>32</v>
      </c>
      <c r="I10" s="139">
        <v>85</v>
      </c>
      <c r="J10" s="155">
        <f t="shared" si="0"/>
        <v>2720</v>
      </c>
    </row>
    <row r="11" spans="1:11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150">
        <v>40</v>
      </c>
      <c r="I11" s="140">
        <v>85</v>
      </c>
      <c r="J11" s="156">
        <f t="shared" si="0"/>
        <v>3400</v>
      </c>
    </row>
    <row r="12" spans="1:11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48">
        <v>23</v>
      </c>
      <c r="I12" s="141">
        <v>85</v>
      </c>
      <c r="J12" s="158">
        <f t="shared" si="0"/>
        <v>1955</v>
      </c>
    </row>
    <row r="13" spans="1:11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46">
        <f>32-11</f>
        <v>21</v>
      </c>
      <c r="I13" s="139">
        <v>85</v>
      </c>
      <c r="J13" s="159">
        <f t="shared" si="0"/>
        <v>1785</v>
      </c>
    </row>
    <row r="14" spans="1:11" s="110" customFormat="1" ht="15" customHeight="1" x14ac:dyDescent="0.25">
      <c r="B14" s="122">
        <v>411012</v>
      </c>
      <c r="C14" s="114" t="s">
        <v>31</v>
      </c>
      <c r="D14" s="115">
        <v>14</v>
      </c>
      <c r="E14" s="115">
        <v>44</v>
      </c>
      <c r="F14" s="114">
        <v>46</v>
      </c>
      <c r="G14" s="114">
        <v>47</v>
      </c>
      <c r="H14" s="150">
        <v>48</v>
      </c>
      <c r="I14" s="140">
        <v>22.8</v>
      </c>
      <c r="J14" s="160">
        <f t="shared" si="0"/>
        <v>1094.4000000000001</v>
      </c>
    </row>
    <row r="15" spans="1:11" s="110" customFormat="1" ht="15" customHeight="1" x14ac:dyDescent="0.25">
      <c r="B15" s="117">
        <v>411013</v>
      </c>
      <c r="C15" s="117" t="s">
        <v>32</v>
      </c>
      <c r="D15" s="118">
        <v>39</v>
      </c>
      <c r="E15" s="118">
        <v>38</v>
      </c>
      <c r="F15" s="117">
        <v>42</v>
      </c>
      <c r="G15" s="138">
        <v>45</v>
      </c>
      <c r="H15" s="151">
        <v>40</v>
      </c>
      <c r="I15" s="141">
        <v>22.8</v>
      </c>
      <c r="J15" s="158">
        <f t="shared" si="0"/>
        <v>912</v>
      </c>
    </row>
    <row r="16" spans="1:11" s="110" customFormat="1" ht="15" customHeight="1" x14ac:dyDescent="0.25">
      <c r="B16" s="111">
        <v>411014</v>
      </c>
      <c r="C16" s="111" t="s">
        <v>33</v>
      </c>
      <c r="D16" s="112">
        <v>26</v>
      </c>
      <c r="E16" s="112">
        <v>29</v>
      </c>
      <c r="F16" s="111">
        <v>33</v>
      </c>
      <c r="G16" s="136">
        <v>42</v>
      </c>
      <c r="H16" s="149">
        <v>43</v>
      </c>
      <c r="I16" s="139">
        <v>22.8</v>
      </c>
      <c r="J16" s="159">
        <f t="shared" si="0"/>
        <v>980.4</v>
      </c>
    </row>
    <row r="17" spans="1:11" s="110" customFormat="1" ht="15" customHeight="1" x14ac:dyDescent="0.25">
      <c r="B17" s="114">
        <v>411015</v>
      </c>
      <c r="C17" s="114" t="s">
        <v>34</v>
      </c>
      <c r="D17" s="115">
        <v>24</v>
      </c>
      <c r="E17" s="115">
        <v>24</v>
      </c>
      <c r="F17" s="114">
        <v>24</v>
      </c>
      <c r="G17" s="137">
        <v>23</v>
      </c>
      <c r="H17" s="150">
        <v>24</v>
      </c>
      <c r="I17" s="140">
        <v>22.8</v>
      </c>
      <c r="J17" s="160">
        <f t="shared" si="0"/>
        <v>547.20000000000005</v>
      </c>
    </row>
    <row r="18" spans="1:11" s="110" customFormat="1" ht="15" customHeight="1" x14ac:dyDescent="0.25">
      <c r="B18" s="127">
        <v>411016</v>
      </c>
      <c r="C18" s="117" t="s">
        <v>35</v>
      </c>
      <c r="D18" s="118">
        <v>37</v>
      </c>
      <c r="E18" s="118">
        <v>36</v>
      </c>
      <c r="F18" s="117">
        <v>31</v>
      </c>
      <c r="G18" s="117">
        <v>28</v>
      </c>
      <c r="H18" s="151">
        <v>29</v>
      </c>
      <c r="I18" s="141">
        <v>22.8</v>
      </c>
      <c r="J18" s="158">
        <f t="shared" si="0"/>
        <v>661.2</v>
      </c>
    </row>
    <row r="19" spans="1:11" s="110" customFormat="1" ht="15" customHeight="1" x14ac:dyDescent="0.25">
      <c r="B19" s="120">
        <v>411017</v>
      </c>
      <c r="C19" s="111" t="s">
        <v>36</v>
      </c>
      <c r="D19" s="112">
        <v>25</v>
      </c>
      <c r="E19" s="112">
        <v>29</v>
      </c>
      <c r="F19" s="111">
        <v>25</v>
      </c>
      <c r="G19" s="136">
        <v>25</v>
      </c>
      <c r="H19" s="146">
        <v>23</v>
      </c>
      <c r="I19" s="139">
        <v>22.8</v>
      </c>
      <c r="J19" s="159">
        <f t="shared" si="0"/>
        <v>524.4</v>
      </c>
    </row>
    <row r="20" spans="1:11" s="110" customFormat="1" ht="15" customHeight="1" x14ac:dyDescent="0.25">
      <c r="B20" s="122">
        <v>411018</v>
      </c>
      <c r="C20" s="114" t="s">
        <v>37</v>
      </c>
      <c r="D20" s="115">
        <v>36</v>
      </c>
      <c r="E20" s="115">
        <v>36</v>
      </c>
      <c r="F20" s="114">
        <v>36</v>
      </c>
      <c r="G20" s="114">
        <v>37</v>
      </c>
      <c r="H20" s="147">
        <v>36</v>
      </c>
      <c r="I20" s="140">
        <v>85</v>
      </c>
      <c r="J20" s="156">
        <f t="shared" si="0"/>
        <v>3060</v>
      </c>
      <c r="K20" s="110" t="s">
        <v>233</v>
      </c>
    </row>
    <row r="21" spans="1:11" s="110" customFormat="1" ht="15" customHeight="1" x14ac:dyDescent="0.25">
      <c r="B21" s="127">
        <v>411019</v>
      </c>
      <c r="C21" s="117" t="s">
        <v>38</v>
      </c>
      <c r="D21" s="118">
        <v>22</v>
      </c>
      <c r="E21" s="118">
        <v>23</v>
      </c>
      <c r="F21" s="117">
        <v>24</v>
      </c>
      <c r="G21" s="138">
        <v>25</v>
      </c>
      <c r="H21" s="148">
        <v>26</v>
      </c>
      <c r="I21" s="141">
        <v>85</v>
      </c>
      <c r="J21" s="157">
        <f t="shared" si="0"/>
        <v>2210</v>
      </c>
    </row>
    <row r="22" spans="1:11" s="110" customFormat="1" ht="15" customHeight="1" x14ac:dyDescent="0.25">
      <c r="B22" s="120">
        <v>411020</v>
      </c>
      <c r="C22" s="111" t="s">
        <v>39</v>
      </c>
      <c r="D22" s="112">
        <v>25</v>
      </c>
      <c r="E22" s="112">
        <v>23</v>
      </c>
      <c r="F22" s="111">
        <v>16</v>
      </c>
      <c r="G22" s="111">
        <v>17</v>
      </c>
      <c r="H22" s="146">
        <v>18</v>
      </c>
      <c r="I22" s="139">
        <v>85</v>
      </c>
      <c r="J22" s="155">
        <f t="shared" si="0"/>
        <v>1530</v>
      </c>
      <c r="K22" s="129"/>
    </row>
    <row r="23" spans="1:11" s="110" customFormat="1" ht="15" customHeight="1" x14ac:dyDescent="0.25">
      <c r="B23" s="114">
        <v>411021</v>
      </c>
      <c r="C23" s="114" t="s">
        <v>40</v>
      </c>
      <c r="D23" s="115">
        <v>41</v>
      </c>
      <c r="E23" s="115">
        <v>40</v>
      </c>
      <c r="F23" s="114">
        <v>39</v>
      </c>
      <c r="G23" s="137">
        <v>41</v>
      </c>
      <c r="H23" s="147">
        <v>35</v>
      </c>
      <c r="I23" s="140">
        <v>22.8</v>
      </c>
      <c r="J23" s="160">
        <f t="shared" si="0"/>
        <v>798</v>
      </c>
    </row>
    <row r="24" spans="1:11" s="110" customFormat="1" ht="15" customHeight="1" x14ac:dyDescent="0.25">
      <c r="B24" s="117">
        <v>411022</v>
      </c>
      <c r="C24" s="117" t="s">
        <v>41</v>
      </c>
      <c r="D24" s="118">
        <v>9</v>
      </c>
      <c r="E24" s="118">
        <v>9</v>
      </c>
      <c r="F24" s="117">
        <v>9</v>
      </c>
      <c r="G24" s="117">
        <v>10</v>
      </c>
      <c r="H24" s="148">
        <v>10</v>
      </c>
      <c r="I24" s="141">
        <v>22.8</v>
      </c>
      <c r="J24" s="158">
        <f t="shared" si="0"/>
        <v>228</v>
      </c>
    </row>
    <row r="25" spans="1:11" s="110" customFormat="1" ht="15" customHeight="1" x14ac:dyDescent="0.25">
      <c r="B25" s="111">
        <v>411023</v>
      </c>
      <c r="C25" s="111" t="s">
        <v>329</v>
      </c>
      <c r="D25" s="112">
        <v>13</v>
      </c>
      <c r="E25" s="112">
        <v>13</v>
      </c>
      <c r="F25" s="111">
        <v>11</v>
      </c>
      <c r="G25" s="136">
        <v>12</v>
      </c>
      <c r="H25" s="146">
        <v>14</v>
      </c>
      <c r="I25" s="139">
        <v>22.8</v>
      </c>
      <c r="J25" s="159">
        <f t="shared" si="0"/>
        <v>319.2</v>
      </c>
    </row>
    <row r="26" spans="1:11" s="110" customFormat="1" ht="15" customHeight="1" x14ac:dyDescent="0.25">
      <c r="B26" s="114">
        <v>411025</v>
      </c>
      <c r="C26" s="114" t="s">
        <v>43</v>
      </c>
      <c r="D26" s="115">
        <v>49</v>
      </c>
      <c r="E26" s="115">
        <v>47</v>
      </c>
      <c r="F26" s="114">
        <v>45</v>
      </c>
      <c r="G26" s="137">
        <v>43</v>
      </c>
      <c r="H26" s="147">
        <v>32</v>
      </c>
      <c r="I26" s="140">
        <v>85</v>
      </c>
      <c r="J26" s="160">
        <f t="shared" si="0"/>
        <v>2720</v>
      </c>
    </row>
    <row r="27" spans="1:11" s="110" customFormat="1" ht="15" customHeight="1" x14ac:dyDescent="0.25">
      <c r="B27" s="117">
        <v>411026</v>
      </c>
      <c r="C27" s="117" t="s">
        <v>44</v>
      </c>
      <c r="D27" s="118">
        <v>25</v>
      </c>
      <c r="E27" s="118">
        <v>24</v>
      </c>
      <c r="F27" s="117">
        <v>24</v>
      </c>
      <c r="G27" s="117">
        <v>25</v>
      </c>
      <c r="H27" s="148">
        <v>25</v>
      </c>
      <c r="I27" s="141">
        <v>85</v>
      </c>
      <c r="J27" s="158">
        <f t="shared" si="0"/>
        <v>2125</v>
      </c>
    </row>
    <row r="28" spans="1:11" s="92" customFormat="1" ht="18.45" customHeight="1" x14ac:dyDescent="0.25">
      <c r="A28" s="110"/>
      <c r="B28" s="114">
        <v>411027</v>
      </c>
      <c r="C28" s="114" t="s">
        <v>45</v>
      </c>
      <c r="D28" s="115">
        <v>39</v>
      </c>
      <c r="E28" s="115">
        <v>25</v>
      </c>
      <c r="F28" s="114">
        <v>18</v>
      </c>
      <c r="G28" s="137">
        <v>20</v>
      </c>
      <c r="H28" s="147">
        <v>23</v>
      </c>
      <c r="I28" s="140">
        <v>85</v>
      </c>
      <c r="J28" s="160">
        <f t="shared" si="0"/>
        <v>1955</v>
      </c>
      <c r="K28" s="110"/>
    </row>
    <row r="29" spans="1:11" s="110" customFormat="1" ht="15" customHeight="1" x14ac:dyDescent="0.25">
      <c r="B29" s="111">
        <v>411028</v>
      </c>
      <c r="C29" s="111" t="s">
        <v>46</v>
      </c>
      <c r="D29" s="112">
        <v>38</v>
      </c>
      <c r="E29" s="112">
        <v>37</v>
      </c>
      <c r="F29" s="111">
        <v>37</v>
      </c>
      <c r="G29" s="136">
        <v>39</v>
      </c>
      <c r="H29" s="146">
        <v>37</v>
      </c>
      <c r="I29" s="139">
        <v>85</v>
      </c>
      <c r="J29" s="159">
        <f t="shared" si="0"/>
        <v>3145</v>
      </c>
    </row>
    <row r="30" spans="1:11" s="110" customFormat="1" ht="15" customHeight="1" x14ac:dyDescent="0.25">
      <c r="B30" s="114">
        <v>411029</v>
      </c>
      <c r="C30" s="114" t="s">
        <v>47</v>
      </c>
      <c r="D30" s="115">
        <v>42</v>
      </c>
      <c r="E30" s="115">
        <v>41</v>
      </c>
      <c r="F30" s="114">
        <v>38</v>
      </c>
      <c r="G30" s="137">
        <v>39</v>
      </c>
      <c r="H30" s="147">
        <f>26+13</f>
        <v>39</v>
      </c>
      <c r="I30" s="140">
        <v>22.8</v>
      </c>
      <c r="J30" s="160">
        <f t="shared" si="0"/>
        <v>889.2</v>
      </c>
    </row>
    <row r="31" spans="1:11" s="110" customFormat="1" ht="15" customHeight="1" x14ac:dyDescent="0.25">
      <c r="B31" s="117">
        <v>411030</v>
      </c>
      <c r="C31" s="117" t="s">
        <v>48</v>
      </c>
      <c r="D31" s="118">
        <v>23</v>
      </c>
      <c r="E31" s="118">
        <v>19</v>
      </c>
      <c r="F31" s="117">
        <v>19</v>
      </c>
      <c r="G31" s="117">
        <v>20</v>
      </c>
      <c r="H31" s="151">
        <v>21</v>
      </c>
      <c r="I31" s="141">
        <v>22.8</v>
      </c>
      <c r="J31" s="158">
        <f t="shared" si="0"/>
        <v>478.8</v>
      </c>
    </row>
    <row r="32" spans="1:11" s="110" customFormat="1" ht="15" customHeight="1" x14ac:dyDescent="0.25">
      <c r="B32" s="111">
        <v>411031</v>
      </c>
      <c r="C32" s="111"/>
      <c r="D32" s="112"/>
      <c r="E32" s="112"/>
      <c r="F32" s="112"/>
      <c r="G32" s="112"/>
      <c r="H32" s="152"/>
      <c r="I32" s="139"/>
      <c r="J32" s="159">
        <f t="shared" si="0"/>
        <v>0</v>
      </c>
    </row>
    <row r="33" spans="2:10" s="110" customFormat="1" ht="15" customHeight="1" x14ac:dyDescent="0.25">
      <c r="B33" s="114">
        <v>411032</v>
      </c>
      <c r="C33" s="114" t="s">
        <v>50</v>
      </c>
      <c r="D33" s="115">
        <v>22</v>
      </c>
      <c r="E33" s="115">
        <v>21</v>
      </c>
      <c r="F33" s="114">
        <v>24</v>
      </c>
      <c r="G33" s="137">
        <v>24</v>
      </c>
      <c r="H33" s="150">
        <v>25</v>
      </c>
      <c r="I33" s="140">
        <v>22.8</v>
      </c>
      <c r="J33" s="160">
        <f t="shared" si="0"/>
        <v>570</v>
      </c>
    </row>
    <row r="34" spans="2:10" s="110" customFormat="1" ht="15" customHeight="1" x14ac:dyDescent="0.25">
      <c r="B34" s="117">
        <v>411033</v>
      </c>
      <c r="C34" s="117" t="s">
        <v>51</v>
      </c>
      <c r="D34" s="118">
        <v>37</v>
      </c>
      <c r="E34" s="118">
        <v>36</v>
      </c>
      <c r="F34" s="117">
        <v>33</v>
      </c>
      <c r="G34" s="138">
        <v>29</v>
      </c>
      <c r="H34" s="148">
        <v>31</v>
      </c>
      <c r="I34" s="141">
        <v>85</v>
      </c>
      <c r="J34" s="158">
        <f t="shared" si="0"/>
        <v>2635</v>
      </c>
    </row>
    <row r="35" spans="2:10" s="110" customFormat="1" ht="15" customHeight="1" x14ac:dyDescent="0.25">
      <c r="B35" s="111">
        <v>411034</v>
      </c>
      <c r="C35" s="111" t="s">
        <v>52</v>
      </c>
      <c r="D35" s="112">
        <v>20</v>
      </c>
      <c r="E35" s="112">
        <v>20</v>
      </c>
      <c r="F35" s="111">
        <v>15</v>
      </c>
      <c r="G35" s="111">
        <v>18</v>
      </c>
      <c r="H35" s="149">
        <v>19</v>
      </c>
      <c r="I35" s="139">
        <v>85</v>
      </c>
      <c r="J35" s="159">
        <f t="shared" si="0"/>
        <v>1615</v>
      </c>
    </row>
    <row r="36" spans="2:10" s="110" customFormat="1" ht="15" customHeight="1" x14ac:dyDescent="0.25">
      <c r="B36" s="114">
        <v>411035</v>
      </c>
      <c r="C36" s="114" t="s">
        <v>53</v>
      </c>
      <c r="D36" s="115">
        <v>24</v>
      </c>
      <c r="E36" s="115">
        <v>20</v>
      </c>
      <c r="F36" s="114">
        <v>20</v>
      </c>
      <c r="G36" s="114">
        <v>21</v>
      </c>
      <c r="H36" s="150">
        <v>19</v>
      </c>
      <c r="I36" s="140">
        <v>85</v>
      </c>
      <c r="J36" s="160">
        <f t="shared" si="0"/>
        <v>1615</v>
      </c>
    </row>
    <row r="37" spans="2:10" s="110" customFormat="1" ht="15" customHeight="1" x14ac:dyDescent="0.25">
      <c r="B37" s="117">
        <v>411036</v>
      </c>
      <c r="C37" s="117" t="s">
        <v>321</v>
      </c>
      <c r="D37" s="118">
        <v>0</v>
      </c>
      <c r="E37" s="118">
        <v>7</v>
      </c>
      <c r="F37" s="117">
        <v>7</v>
      </c>
      <c r="G37" s="117">
        <v>8</v>
      </c>
      <c r="H37" s="151">
        <v>9</v>
      </c>
      <c r="I37" s="141">
        <v>22.8</v>
      </c>
      <c r="J37" s="158">
        <f t="shared" si="0"/>
        <v>205.20000000000002</v>
      </c>
    </row>
    <row r="38" spans="2:10" s="110" customFormat="1" ht="15" customHeight="1" x14ac:dyDescent="0.25">
      <c r="B38" s="111">
        <v>411037</v>
      </c>
      <c r="C38" s="111" t="s">
        <v>54</v>
      </c>
      <c r="D38" s="112">
        <v>22</v>
      </c>
      <c r="E38" s="112">
        <v>18</v>
      </c>
      <c r="F38" s="111">
        <v>18</v>
      </c>
      <c r="G38" s="111">
        <v>20</v>
      </c>
      <c r="H38" s="146">
        <v>20</v>
      </c>
      <c r="I38" s="139">
        <v>85</v>
      </c>
      <c r="J38" s="159">
        <f t="shared" si="0"/>
        <v>1700</v>
      </c>
    </row>
    <row r="39" spans="2:10" s="110" customFormat="1" ht="15" customHeight="1" x14ac:dyDescent="0.25">
      <c r="B39" s="114">
        <v>411038</v>
      </c>
      <c r="C39" s="114" t="s">
        <v>320</v>
      </c>
      <c r="D39" s="115"/>
      <c r="E39" s="115">
        <v>9</v>
      </c>
      <c r="F39" s="114">
        <v>12</v>
      </c>
      <c r="G39" s="137">
        <v>13</v>
      </c>
      <c r="H39" s="147">
        <v>15</v>
      </c>
      <c r="I39" s="140">
        <v>85</v>
      </c>
      <c r="J39" s="160">
        <f t="shared" si="0"/>
        <v>1275</v>
      </c>
    </row>
    <row r="40" spans="2:10" s="110" customFormat="1" ht="15" customHeight="1" x14ac:dyDescent="0.25">
      <c r="B40" s="117">
        <v>411039</v>
      </c>
      <c r="C40" s="117" t="s">
        <v>55</v>
      </c>
      <c r="D40" s="130">
        <v>9</v>
      </c>
      <c r="E40" s="130">
        <v>10</v>
      </c>
      <c r="F40" s="131">
        <v>9</v>
      </c>
      <c r="G40" s="131">
        <v>10</v>
      </c>
      <c r="H40" s="153">
        <v>11</v>
      </c>
      <c r="I40" s="142">
        <v>85</v>
      </c>
      <c r="J40" s="158">
        <f t="shared" si="0"/>
        <v>935</v>
      </c>
    </row>
    <row r="41" spans="2:10" s="110" customFormat="1" ht="15" customHeight="1" x14ac:dyDescent="0.25">
      <c r="B41" s="111">
        <v>411040</v>
      </c>
      <c r="C41" s="111" t="s">
        <v>146</v>
      </c>
      <c r="D41" s="112">
        <v>12</v>
      </c>
      <c r="E41" s="112">
        <v>12</v>
      </c>
      <c r="F41" s="111">
        <v>12</v>
      </c>
      <c r="G41" s="136">
        <v>19</v>
      </c>
      <c r="H41" s="149">
        <v>20</v>
      </c>
      <c r="I41" s="139">
        <v>22.8</v>
      </c>
      <c r="J41" s="159">
        <f t="shared" si="0"/>
        <v>456</v>
      </c>
    </row>
    <row r="42" spans="2:10" s="110" customFormat="1" ht="15" customHeight="1" x14ac:dyDescent="0.25">
      <c r="B42" s="114">
        <v>411041</v>
      </c>
      <c r="C42" s="114" t="s">
        <v>56</v>
      </c>
      <c r="D42" s="115">
        <v>16</v>
      </c>
      <c r="E42" s="115">
        <v>16</v>
      </c>
      <c r="F42" s="114">
        <v>16</v>
      </c>
      <c r="G42" s="114">
        <v>17</v>
      </c>
      <c r="H42" s="147">
        <v>24</v>
      </c>
      <c r="I42" s="140">
        <v>22.8</v>
      </c>
      <c r="J42" s="160">
        <f t="shared" si="0"/>
        <v>547.20000000000005</v>
      </c>
    </row>
    <row r="43" spans="2:10" s="110" customFormat="1" ht="15" customHeight="1" x14ac:dyDescent="0.25">
      <c r="B43" s="117">
        <v>411042</v>
      </c>
      <c r="C43" s="117" t="s">
        <v>57</v>
      </c>
      <c r="D43" s="118">
        <v>24</v>
      </c>
      <c r="E43" s="118">
        <v>24</v>
      </c>
      <c r="F43" s="117">
        <v>23</v>
      </c>
      <c r="G43" s="117">
        <v>24</v>
      </c>
      <c r="H43" s="151">
        <v>25</v>
      </c>
      <c r="I43" s="141">
        <v>22.8</v>
      </c>
      <c r="J43" s="158">
        <f t="shared" si="0"/>
        <v>570</v>
      </c>
    </row>
    <row r="44" spans="2:10" s="110" customFormat="1" ht="15" customHeight="1" x14ac:dyDescent="0.25">
      <c r="B44" s="111">
        <v>411043</v>
      </c>
      <c r="C44" s="111" t="s">
        <v>58</v>
      </c>
      <c r="D44" s="112">
        <v>14</v>
      </c>
      <c r="E44" s="112">
        <v>14</v>
      </c>
      <c r="F44" s="111">
        <v>14</v>
      </c>
      <c r="G44" s="111">
        <v>15</v>
      </c>
      <c r="H44" s="146">
        <v>15</v>
      </c>
      <c r="I44" s="139">
        <v>22.8</v>
      </c>
      <c r="J44" s="159">
        <f t="shared" si="0"/>
        <v>342</v>
      </c>
    </row>
    <row r="45" spans="2:10" s="110" customFormat="1" ht="15" customHeight="1" x14ac:dyDescent="0.25">
      <c r="B45" s="114">
        <v>411044</v>
      </c>
      <c r="C45" s="114" t="s">
        <v>86</v>
      </c>
      <c r="D45" s="115">
        <v>72</v>
      </c>
      <c r="E45" s="115">
        <v>75</v>
      </c>
      <c r="F45" s="114">
        <v>75</v>
      </c>
      <c r="G45" s="114">
        <v>75</v>
      </c>
      <c r="H45" s="150">
        <v>76</v>
      </c>
      <c r="I45" s="140">
        <v>2.9</v>
      </c>
      <c r="J45" s="160">
        <f t="shared" si="0"/>
        <v>220.4</v>
      </c>
    </row>
    <row r="46" spans="2:10" s="110" customFormat="1" ht="15" customHeight="1" x14ac:dyDescent="0.25">
      <c r="B46" s="117">
        <v>411045</v>
      </c>
      <c r="C46" s="117" t="s">
        <v>59</v>
      </c>
      <c r="D46" s="118">
        <v>31</v>
      </c>
      <c r="E46" s="118">
        <v>31</v>
      </c>
      <c r="F46" s="117">
        <v>31</v>
      </c>
      <c r="G46" s="117">
        <v>31</v>
      </c>
      <c r="H46" s="151">
        <v>32</v>
      </c>
      <c r="I46" s="141">
        <v>2.9</v>
      </c>
      <c r="J46" s="158">
        <f t="shared" si="0"/>
        <v>92.8</v>
      </c>
    </row>
    <row r="47" spans="2:10" s="110" customFormat="1" ht="15" customHeight="1" x14ac:dyDescent="0.25">
      <c r="B47" s="111">
        <v>411046</v>
      </c>
      <c r="C47" s="111" t="s">
        <v>60</v>
      </c>
      <c r="D47" s="112">
        <v>11</v>
      </c>
      <c r="E47" s="112">
        <v>11</v>
      </c>
      <c r="F47" s="111">
        <v>15</v>
      </c>
      <c r="G47" s="111">
        <v>16</v>
      </c>
      <c r="H47" s="149">
        <v>17</v>
      </c>
      <c r="I47" s="139">
        <v>22.8</v>
      </c>
      <c r="J47" s="159">
        <f t="shared" si="0"/>
        <v>387.6</v>
      </c>
    </row>
    <row r="48" spans="2:10" s="110" customFormat="1" ht="15" customHeight="1" x14ac:dyDescent="0.25">
      <c r="B48" s="122">
        <v>411047</v>
      </c>
      <c r="C48" s="122" t="s">
        <v>336</v>
      </c>
      <c r="D48" s="115">
        <v>12</v>
      </c>
      <c r="E48" s="115">
        <v>9</v>
      </c>
      <c r="F48" s="114">
        <v>9</v>
      </c>
      <c r="G48" s="114">
        <v>9</v>
      </c>
      <c r="H48" s="150">
        <v>10</v>
      </c>
      <c r="I48" s="140">
        <v>22.8</v>
      </c>
      <c r="J48" s="160">
        <f t="shared" si="0"/>
        <v>228</v>
      </c>
    </row>
    <row r="49" spans="1:12" s="110" customFormat="1" ht="15" customHeight="1" x14ac:dyDescent="0.25">
      <c r="B49" s="127">
        <v>411049</v>
      </c>
      <c r="C49" s="127" t="s">
        <v>225</v>
      </c>
      <c r="D49" s="118">
        <v>13</v>
      </c>
      <c r="E49" s="118">
        <v>14</v>
      </c>
      <c r="F49" s="117">
        <v>14</v>
      </c>
      <c r="G49" s="138">
        <v>17</v>
      </c>
      <c r="H49" s="148">
        <v>17</v>
      </c>
      <c r="I49" s="141">
        <v>85</v>
      </c>
      <c r="J49" s="157">
        <f t="shared" si="0"/>
        <v>1445</v>
      </c>
    </row>
    <row r="50" spans="1:12" s="110" customFormat="1" ht="15" customHeight="1" x14ac:dyDescent="0.25">
      <c r="B50" s="120">
        <v>411050</v>
      </c>
      <c r="C50" s="120" t="s">
        <v>226</v>
      </c>
      <c r="D50" s="112">
        <v>14</v>
      </c>
      <c r="E50" s="112"/>
      <c r="F50" s="111"/>
      <c r="G50" s="111"/>
      <c r="H50" s="146"/>
      <c r="I50" s="139">
        <v>0</v>
      </c>
      <c r="J50" s="155">
        <f t="shared" si="0"/>
        <v>0</v>
      </c>
    </row>
    <row r="51" spans="1:12" s="110" customFormat="1" ht="15" customHeight="1" x14ac:dyDescent="0.25">
      <c r="B51" s="122">
        <v>411051</v>
      </c>
      <c r="C51" s="122" t="s">
        <v>258</v>
      </c>
      <c r="D51" s="115">
        <v>21</v>
      </c>
      <c r="E51" s="115">
        <v>21</v>
      </c>
      <c r="F51" s="114">
        <v>21</v>
      </c>
      <c r="G51" s="114">
        <v>21</v>
      </c>
      <c r="H51" s="150">
        <v>22</v>
      </c>
      <c r="I51" s="140">
        <v>2.9</v>
      </c>
      <c r="J51" s="156">
        <f t="shared" si="0"/>
        <v>63.8</v>
      </c>
    </row>
    <row r="52" spans="1:12" s="110" customFormat="1" ht="15" customHeight="1" x14ac:dyDescent="0.25">
      <c r="B52" s="122">
        <v>411052</v>
      </c>
      <c r="C52" s="122" t="s">
        <v>337</v>
      </c>
      <c r="D52" s="115"/>
      <c r="E52" s="115"/>
      <c r="F52" s="114">
        <v>14</v>
      </c>
      <c r="G52" s="114">
        <v>11</v>
      </c>
      <c r="H52" s="150">
        <v>10</v>
      </c>
      <c r="I52" s="140">
        <v>8.6999999999999993</v>
      </c>
      <c r="J52" s="156">
        <f t="shared" si="0"/>
        <v>87</v>
      </c>
    </row>
    <row r="53" spans="1:12" s="92" customFormat="1" ht="31.5" customHeight="1" x14ac:dyDescent="0.25">
      <c r="A53" s="132"/>
      <c r="B53" s="133"/>
      <c r="C53" s="134"/>
      <c r="D53" s="135">
        <f>SUM(D2:D52)</f>
        <v>1408</v>
      </c>
      <c r="E53" s="135">
        <f>SUM(E2:E52)</f>
        <v>1402</v>
      </c>
      <c r="F53" s="135">
        <f>SUM(F2:F52)</f>
        <v>1384</v>
      </c>
      <c r="G53" s="135">
        <f>SUM(G2:G52)</f>
        <v>1419</v>
      </c>
      <c r="H53" s="135">
        <f>SUM(H2:H52)</f>
        <v>1402</v>
      </c>
      <c r="I53" s="132"/>
      <c r="J53" s="161">
        <f>SUM(J2:J52)</f>
        <v>78437.799999999988</v>
      </c>
      <c r="L53" s="144"/>
    </row>
    <row r="54" spans="1:12" ht="15" customHeight="1" x14ac:dyDescent="0.25"/>
    <row r="55" spans="1:12" ht="15" customHeight="1" x14ac:dyDescent="0.25">
      <c r="J55" s="162">
        <v>78641.8</v>
      </c>
    </row>
    <row r="56" spans="1:12" ht="15" customHeight="1" x14ac:dyDescent="0.25"/>
    <row r="57" spans="1:12" ht="15" customHeight="1" x14ac:dyDescent="0.25">
      <c r="J57" s="162">
        <f>+J53-J55</f>
        <v>-204.00000000001455</v>
      </c>
    </row>
    <row r="58" spans="1:12" ht="15" customHeight="1" x14ac:dyDescent="0.25"/>
    <row r="59" spans="1:12" ht="15" customHeight="1" x14ac:dyDescent="0.25"/>
    <row r="60" spans="1:12" ht="15" customHeight="1" x14ac:dyDescent="0.25"/>
  </sheetData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Footer>&amp;C_x000D_&amp;1#&amp;"Aptos"&amp;10&amp;KFF0000 C2 -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2306-E8DA-4087-A930-C0ABED9BFE6E}">
  <sheetPr>
    <pageSetUpPr fitToPage="1"/>
  </sheetPr>
  <dimension ref="A2:L62"/>
  <sheetViews>
    <sheetView topLeftCell="A34" zoomScaleNormal="100" workbookViewId="0">
      <selection activeCell="H24" sqref="H24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hidden="1" customWidth="1"/>
    <col min="5" max="5" width="9.21875" style="82" customWidth="1"/>
    <col min="6" max="7" width="9.21875" style="52" customWidth="1"/>
    <col min="8" max="8" width="9.21875" style="41" customWidth="1"/>
    <col min="9" max="9" width="9.21875" style="52" customWidth="1"/>
    <col min="10" max="10" width="13" style="162" customWidth="1"/>
    <col min="11" max="11" width="11.6640625" style="52" bestFit="1" customWidth="1"/>
    <col min="12" max="16384" width="10.6640625" style="52"/>
  </cols>
  <sheetData>
    <row r="2" spans="1:11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145" t="s">
        <v>338</v>
      </c>
      <c r="I2" s="46" t="s">
        <v>14</v>
      </c>
      <c r="J2" s="154" t="s">
        <v>339</v>
      </c>
    </row>
    <row r="3" spans="1:11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46">
        <v>74</v>
      </c>
      <c r="I3" s="139">
        <v>85</v>
      </c>
      <c r="J3" s="155">
        <f t="shared" ref="J3:J27" si="0">+H3*I3</f>
        <v>6290</v>
      </c>
    </row>
    <row r="4" spans="1:11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47">
        <v>60</v>
      </c>
      <c r="I4" s="140">
        <v>85</v>
      </c>
      <c r="J4" s="156">
        <f t="shared" si="0"/>
        <v>5100</v>
      </c>
    </row>
    <row r="5" spans="1:11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48">
        <v>48</v>
      </c>
      <c r="I5" s="141">
        <v>85</v>
      </c>
      <c r="J5" s="157">
        <f t="shared" si="0"/>
        <v>4080</v>
      </c>
    </row>
    <row r="6" spans="1:11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46">
        <v>51</v>
      </c>
      <c r="I6" s="139">
        <v>85</v>
      </c>
      <c r="J6" s="155">
        <f t="shared" si="0"/>
        <v>4335</v>
      </c>
    </row>
    <row r="7" spans="1:11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47">
        <f>63-6</f>
        <v>57</v>
      </c>
      <c r="I7" s="140">
        <v>85</v>
      </c>
      <c r="J7" s="156">
        <f t="shared" si="0"/>
        <v>4845</v>
      </c>
      <c r="K7" s="110"/>
    </row>
    <row r="8" spans="1:11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47">
        <v>21</v>
      </c>
      <c r="I8" s="140">
        <v>85</v>
      </c>
      <c r="J8" s="156">
        <f t="shared" si="0"/>
        <v>1785</v>
      </c>
    </row>
    <row r="9" spans="1:11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48">
        <v>35</v>
      </c>
      <c r="I9" s="141">
        <v>85</v>
      </c>
      <c r="J9" s="157">
        <f t="shared" si="0"/>
        <v>2975</v>
      </c>
    </row>
    <row r="10" spans="1:11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149">
        <v>32</v>
      </c>
      <c r="I10" s="139">
        <v>85</v>
      </c>
      <c r="J10" s="155">
        <f t="shared" si="0"/>
        <v>2720</v>
      </c>
    </row>
    <row r="11" spans="1:11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150">
        <v>40</v>
      </c>
      <c r="I11" s="140">
        <v>85</v>
      </c>
      <c r="J11" s="156">
        <f t="shared" si="0"/>
        <v>3400</v>
      </c>
    </row>
    <row r="12" spans="1:11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48">
        <v>23</v>
      </c>
      <c r="I12" s="141">
        <v>85</v>
      </c>
      <c r="J12" s="158">
        <f t="shared" si="0"/>
        <v>1955</v>
      </c>
    </row>
    <row r="13" spans="1:11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46">
        <f>32-11</f>
        <v>21</v>
      </c>
      <c r="I13" s="139">
        <v>85</v>
      </c>
      <c r="J13" s="159">
        <f t="shared" si="0"/>
        <v>1785</v>
      </c>
    </row>
    <row r="14" spans="1:11" s="110" customFormat="1" ht="15" customHeight="1" x14ac:dyDescent="0.25">
      <c r="B14" s="122">
        <v>411018</v>
      </c>
      <c r="C14" s="114" t="s">
        <v>37</v>
      </c>
      <c r="D14" s="115">
        <v>36</v>
      </c>
      <c r="E14" s="115">
        <v>36</v>
      </c>
      <c r="F14" s="114">
        <v>36</v>
      </c>
      <c r="G14" s="114">
        <v>37</v>
      </c>
      <c r="H14" s="147">
        <v>36</v>
      </c>
      <c r="I14" s="140">
        <v>85</v>
      </c>
      <c r="J14" s="156">
        <f t="shared" si="0"/>
        <v>3060</v>
      </c>
      <c r="K14" s="110" t="s">
        <v>233</v>
      </c>
    </row>
    <row r="15" spans="1:11" s="110" customFormat="1" ht="15" customHeight="1" x14ac:dyDescent="0.25">
      <c r="B15" s="127">
        <v>411019</v>
      </c>
      <c r="C15" s="117" t="s">
        <v>38</v>
      </c>
      <c r="D15" s="118">
        <v>22</v>
      </c>
      <c r="E15" s="118">
        <v>23</v>
      </c>
      <c r="F15" s="117">
        <v>24</v>
      </c>
      <c r="G15" s="138">
        <v>25</v>
      </c>
      <c r="H15" s="148">
        <v>26</v>
      </c>
      <c r="I15" s="141">
        <v>85</v>
      </c>
      <c r="J15" s="157">
        <f t="shared" si="0"/>
        <v>2210</v>
      </c>
    </row>
    <row r="16" spans="1:11" s="110" customFormat="1" ht="15" customHeight="1" x14ac:dyDescent="0.25">
      <c r="B16" s="120">
        <v>411020</v>
      </c>
      <c r="C16" s="111" t="s">
        <v>39</v>
      </c>
      <c r="D16" s="112">
        <v>25</v>
      </c>
      <c r="E16" s="112">
        <v>23</v>
      </c>
      <c r="F16" s="111">
        <v>16</v>
      </c>
      <c r="G16" s="111">
        <v>17</v>
      </c>
      <c r="H16" s="146">
        <v>18</v>
      </c>
      <c r="I16" s="139">
        <v>85</v>
      </c>
      <c r="J16" s="155">
        <f t="shared" si="0"/>
        <v>1530</v>
      </c>
      <c r="K16" s="129"/>
    </row>
    <row r="17" spans="1:12" s="110" customFormat="1" ht="15" customHeight="1" x14ac:dyDescent="0.25">
      <c r="B17" s="114">
        <v>411025</v>
      </c>
      <c r="C17" s="114" t="s">
        <v>43</v>
      </c>
      <c r="D17" s="115">
        <v>49</v>
      </c>
      <c r="E17" s="115">
        <v>47</v>
      </c>
      <c r="F17" s="114">
        <v>45</v>
      </c>
      <c r="G17" s="137">
        <v>43</v>
      </c>
      <c r="H17" s="147">
        <v>32</v>
      </c>
      <c r="I17" s="140">
        <v>85</v>
      </c>
      <c r="J17" s="160">
        <f t="shared" si="0"/>
        <v>2720</v>
      </c>
    </row>
    <row r="18" spans="1:12" s="110" customFormat="1" ht="15" customHeight="1" x14ac:dyDescent="0.25">
      <c r="B18" s="117">
        <v>411026</v>
      </c>
      <c r="C18" s="117" t="s">
        <v>44</v>
      </c>
      <c r="D18" s="118">
        <v>25</v>
      </c>
      <c r="E18" s="118">
        <v>24</v>
      </c>
      <c r="F18" s="117">
        <v>24</v>
      </c>
      <c r="G18" s="117">
        <v>25</v>
      </c>
      <c r="H18" s="148">
        <v>25</v>
      </c>
      <c r="I18" s="141">
        <v>85</v>
      </c>
      <c r="J18" s="158">
        <f t="shared" si="0"/>
        <v>2125</v>
      </c>
    </row>
    <row r="19" spans="1:12" s="110" customFormat="1" ht="15" customHeight="1" x14ac:dyDescent="0.25">
      <c r="B19" s="111">
        <v>411027</v>
      </c>
      <c r="C19" s="111" t="s">
        <v>45</v>
      </c>
      <c r="D19" s="112">
        <v>39</v>
      </c>
      <c r="E19" s="112">
        <v>25</v>
      </c>
      <c r="F19" s="111">
        <v>18</v>
      </c>
      <c r="G19" s="136">
        <v>20</v>
      </c>
      <c r="H19" s="146">
        <v>23</v>
      </c>
      <c r="I19" s="139">
        <v>85</v>
      </c>
      <c r="J19" s="159">
        <f t="shared" si="0"/>
        <v>1955</v>
      </c>
      <c r="L19" s="92"/>
    </row>
    <row r="20" spans="1:12" s="110" customFormat="1" ht="15" customHeight="1" x14ac:dyDescent="0.25">
      <c r="B20" s="114">
        <v>411028</v>
      </c>
      <c r="C20" s="114" t="s">
        <v>46</v>
      </c>
      <c r="D20" s="115">
        <v>38</v>
      </c>
      <c r="E20" s="115">
        <v>37</v>
      </c>
      <c r="F20" s="114">
        <v>37</v>
      </c>
      <c r="G20" s="137">
        <v>39</v>
      </c>
      <c r="H20" s="147">
        <v>37</v>
      </c>
      <c r="I20" s="140">
        <v>85</v>
      </c>
      <c r="J20" s="160">
        <f t="shared" si="0"/>
        <v>3145</v>
      </c>
    </row>
    <row r="21" spans="1:12" s="110" customFormat="1" ht="15" customHeight="1" x14ac:dyDescent="0.25">
      <c r="B21" s="117">
        <v>411033</v>
      </c>
      <c r="C21" s="117" t="s">
        <v>51</v>
      </c>
      <c r="D21" s="118">
        <v>37</v>
      </c>
      <c r="E21" s="118">
        <v>36</v>
      </c>
      <c r="F21" s="117">
        <v>33</v>
      </c>
      <c r="G21" s="138">
        <v>29</v>
      </c>
      <c r="H21" s="148">
        <v>31</v>
      </c>
      <c r="I21" s="141">
        <v>85</v>
      </c>
      <c r="J21" s="158">
        <f t="shared" si="0"/>
        <v>2635</v>
      </c>
    </row>
    <row r="22" spans="1:12" s="110" customFormat="1" ht="15" customHeight="1" x14ac:dyDescent="0.25">
      <c r="B22" s="111">
        <v>411034</v>
      </c>
      <c r="C22" s="111" t="s">
        <v>52</v>
      </c>
      <c r="D22" s="112">
        <v>20</v>
      </c>
      <c r="E22" s="112">
        <v>20</v>
      </c>
      <c r="F22" s="111">
        <v>15</v>
      </c>
      <c r="G22" s="111">
        <v>18</v>
      </c>
      <c r="H22" s="149">
        <v>19</v>
      </c>
      <c r="I22" s="139">
        <v>85</v>
      </c>
      <c r="J22" s="159">
        <f t="shared" si="0"/>
        <v>1615</v>
      </c>
    </row>
    <row r="23" spans="1:12" s="110" customFormat="1" ht="15" customHeight="1" x14ac:dyDescent="0.25">
      <c r="B23" s="114">
        <v>411035</v>
      </c>
      <c r="C23" s="114" t="s">
        <v>53</v>
      </c>
      <c r="D23" s="115">
        <v>24</v>
      </c>
      <c r="E23" s="115">
        <v>20</v>
      </c>
      <c r="F23" s="114">
        <v>20</v>
      </c>
      <c r="G23" s="114">
        <v>21</v>
      </c>
      <c r="H23" s="150">
        <v>19</v>
      </c>
      <c r="I23" s="140">
        <v>85</v>
      </c>
      <c r="J23" s="160">
        <f t="shared" si="0"/>
        <v>1615</v>
      </c>
    </row>
    <row r="24" spans="1:12" s="110" customFormat="1" ht="15" customHeight="1" x14ac:dyDescent="0.25">
      <c r="B24" s="117">
        <v>411037</v>
      </c>
      <c r="C24" s="117" t="s">
        <v>54</v>
      </c>
      <c r="D24" s="118">
        <v>22</v>
      </c>
      <c r="E24" s="118">
        <v>18</v>
      </c>
      <c r="F24" s="117">
        <v>18</v>
      </c>
      <c r="G24" s="117">
        <v>20</v>
      </c>
      <c r="H24" s="148">
        <v>20</v>
      </c>
      <c r="I24" s="141">
        <v>85</v>
      </c>
      <c r="J24" s="158">
        <f t="shared" si="0"/>
        <v>1700</v>
      </c>
    </row>
    <row r="25" spans="1:12" s="110" customFormat="1" ht="15" customHeight="1" x14ac:dyDescent="0.25">
      <c r="B25" s="111">
        <v>411038</v>
      </c>
      <c r="C25" s="111" t="s">
        <v>320</v>
      </c>
      <c r="D25" s="112"/>
      <c r="E25" s="112">
        <v>9</v>
      </c>
      <c r="F25" s="111">
        <v>12</v>
      </c>
      <c r="G25" s="136">
        <v>13</v>
      </c>
      <c r="H25" s="146">
        <v>15</v>
      </c>
      <c r="I25" s="139">
        <v>85</v>
      </c>
      <c r="J25" s="159">
        <f t="shared" si="0"/>
        <v>1275</v>
      </c>
    </row>
    <row r="26" spans="1:12" s="110" customFormat="1" ht="15" customHeight="1" x14ac:dyDescent="0.25">
      <c r="B26" s="114">
        <v>411039</v>
      </c>
      <c r="C26" s="114" t="s">
        <v>55</v>
      </c>
      <c r="D26" s="164">
        <v>9</v>
      </c>
      <c r="E26" s="164">
        <v>10</v>
      </c>
      <c r="F26" s="165">
        <v>9</v>
      </c>
      <c r="G26" s="165">
        <v>10</v>
      </c>
      <c r="H26" s="166">
        <v>11</v>
      </c>
      <c r="I26" s="167">
        <v>85</v>
      </c>
      <c r="J26" s="160">
        <f t="shared" si="0"/>
        <v>935</v>
      </c>
    </row>
    <row r="27" spans="1:12" s="110" customFormat="1" ht="15" customHeight="1" x14ac:dyDescent="0.25">
      <c r="B27" s="127">
        <v>411049</v>
      </c>
      <c r="C27" s="127" t="s">
        <v>225</v>
      </c>
      <c r="D27" s="118">
        <v>13</v>
      </c>
      <c r="E27" s="118">
        <v>14</v>
      </c>
      <c r="F27" s="117">
        <v>14</v>
      </c>
      <c r="G27" s="138">
        <v>17</v>
      </c>
      <c r="H27" s="148">
        <v>17</v>
      </c>
      <c r="I27" s="141">
        <v>85</v>
      </c>
      <c r="J27" s="157">
        <f t="shared" si="0"/>
        <v>1445</v>
      </c>
    </row>
    <row r="28" spans="1:12" s="110" customFormat="1" ht="33.75" customHeight="1" x14ac:dyDescent="0.25">
      <c r="B28" s="122"/>
      <c r="C28" s="122"/>
      <c r="D28" s="115"/>
      <c r="E28" s="114">
        <f t="shared" ref="E28:G28" si="1">SUM(E3:E27)</f>
        <v>839</v>
      </c>
      <c r="F28" s="114">
        <f t="shared" si="1"/>
        <v>806</v>
      </c>
      <c r="G28" s="114">
        <f t="shared" si="1"/>
        <v>817</v>
      </c>
      <c r="H28" s="147">
        <f>SUM(H3:H27)</f>
        <v>791</v>
      </c>
      <c r="I28" s="140"/>
      <c r="J28" s="168">
        <f>SUM(J3:J27)</f>
        <v>67235</v>
      </c>
    </row>
    <row r="29" spans="1:12" s="92" customFormat="1" ht="18.45" customHeight="1" x14ac:dyDescent="0.25">
      <c r="A29" s="110"/>
      <c r="B29" s="122">
        <v>411012</v>
      </c>
      <c r="C29" s="114" t="s">
        <v>31</v>
      </c>
      <c r="D29" s="115">
        <v>14</v>
      </c>
      <c r="E29" s="115">
        <v>44</v>
      </c>
      <c r="F29" s="114">
        <v>46</v>
      </c>
      <c r="G29" s="114">
        <v>47</v>
      </c>
      <c r="H29" s="150">
        <v>48</v>
      </c>
      <c r="I29" s="140">
        <v>22.8</v>
      </c>
      <c r="J29" s="160">
        <f t="shared" ref="J29:J47" si="2">+H29*I29</f>
        <v>1094.4000000000001</v>
      </c>
      <c r="K29" s="110"/>
      <c r="L29" s="110"/>
    </row>
    <row r="30" spans="1:12" s="110" customFormat="1" ht="15" customHeight="1" x14ac:dyDescent="0.25">
      <c r="B30" s="111">
        <v>411013</v>
      </c>
      <c r="C30" s="111" t="s">
        <v>32</v>
      </c>
      <c r="D30" s="112">
        <v>39</v>
      </c>
      <c r="E30" s="112">
        <v>38</v>
      </c>
      <c r="F30" s="111">
        <v>42</v>
      </c>
      <c r="G30" s="136">
        <v>45</v>
      </c>
      <c r="H30" s="149">
        <v>40</v>
      </c>
      <c r="I30" s="139">
        <v>22.8</v>
      </c>
      <c r="J30" s="159">
        <f t="shared" si="2"/>
        <v>912</v>
      </c>
    </row>
    <row r="31" spans="1:12" s="110" customFormat="1" ht="15" customHeight="1" x14ac:dyDescent="0.25">
      <c r="B31" s="114">
        <v>411014</v>
      </c>
      <c r="C31" s="114" t="s">
        <v>33</v>
      </c>
      <c r="D31" s="115">
        <v>26</v>
      </c>
      <c r="E31" s="115">
        <v>29</v>
      </c>
      <c r="F31" s="114">
        <v>33</v>
      </c>
      <c r="G31" s="137">
        <v>42</v>
      </c>
      <c r="H31" s="150">
        <v>43</v>
      </c>
      <c r="I31" s="140">
        <v>22.8</v>
      </c>
      <c r="J31" s="160">
        <f t="shared" si="2"/>
        <v>980.4</v>
      </c>
    </row>
    <row r="32" spans="1:12" s="110" customFormat="1" ht="15" customHeight="1" x14ac:dyDescent="0.25">
      <c r="B32" s="117">
        <v>411015</v>
      </c>
      <c r="C32" s="117" t="s">
        <v>34</v>
      </c>
      <c r="D32" s="118">
        <v>24</v>
      </c>
      <c r="E32" s="118">
        <v>24</v>
      </c>
      <c r="F32" s="117">
        <v>24</v>
      </c>
      <c r="G32" s="138">
        <v>23</v>
      </c>
      <c r="H32" s="151">
        <v>24</v>
      </c>
      <c r="I32" s="141">
        <v>22.8</v>
      </c>
      <c r="J32" s="158">
        <f t="shared" si="2"/>
        <v>547.20000000000005</v>
      </c>
    </row>
    <row r="33" spans="2:11" s="110" customFormat="1" ht="15" customHeight="1" x14ac:dyDescent="0.25">
      <c r="B33" s="120">
        <v>411016</v>
      </c>
      <c r="C33" s="111" t="s">
        <v>35</v>
      </c>
      <c r="D33" s="112">
        <v>37</v>
      </c>
      <c r="E33" s="112">
        <v>36</v>
      </c>
      <c r="F33" s="111">
        <v>31</v>
      </c>
      <c r="G33" s="111">
        <v>28</v>
      </c>
      <c r="H33" s="149">
        <v>29</v>
      </c>
      <c r="I33" s="139">
        <v>22.8</v>
      </c>
      <c r="J33" s="159">
        <f t="shared" si="2"/>
        <v>661.2</v>
      </c>
    </row>
    <row r="34" spans="2:11" s="110" customFormat="1" ht="15" customHeight="1" x14ac:dyDescent="0.25">
      <c r="B34" s="122">
        <v>411017</v>
      </c>
      <c r="C34" s="114" t="s">
        <v>36</v>
      </c>
      <c r="D34" s="115">
        <v>25</v>
      </c>
      <c r="E34" s="115">
        <v>29</v>
      </c>
      <c r="F34" s="114">
        <v>25</v>
      </c>
      <c r="G34" s="137">
        <v>25</v>
      </c>
      <c r="H34" s="147">
        <v>23</v>
      </c>
      <c r="I34" s="140">
        <v>22.8</v>
      </c>
      <c r="J34" s="160">
        <f t="shared" si="2"/>
        <v>524.4</v>
      </c>
    </row>
    <row r="35" spans="2:11" s="110" customFormat="1" ht="15" customHeight="1" x14ac:dyDescent="0.25">
      <c r="B35" s="117">
        <v>411021</v>
      </c>
      <c r="C35" s="117" t="s">
        <v>40</v>
      </c>
      <c r="D35" s="118">
        <v>41</v>
      </c>
      <c r="E35" s="118">
        <v>40</v>
      </c>
      <c r="F35" s="117">
        <v>39</v>
      </c>
      <c r="G35" s="138">
        <v>41</v>
      </c>
      <c r="H35" s="148">
        <v>35</v>
      </c>
      <c r="I35" s="141">
        <v>22.8</v>
      </c>
      <c r="J35" s="158">
        <f t="shared" si="2"/>
        <v>798</v>
      </c>
    </row>
    <row r="36" spans="2:11" s="110" customFormat="1" ht="15" customHeight="1" x14ac:dyDescent="0.25">
      <c r="B36" s="111">
        <v>411022</v>
      </c>
      <c r="C36" s="111" t="s">
        <v>41</v>
      </c>
      <c r="D36" s="112">
        <v>9</v>
      </c>
      <c r="E36" s="112">
        <v>9</v>
      </c>
      <c r="F36" s="111">
        <v>9</v>
      </c>
      <c r="G36" s="111">
        <v>10</v>
      </c>
      <c r="H36" s="146">
        <v>10</v>
      </c>
      <c r="I36" s="139">
        <v>22.8</v>
      </c>
      <c r="J36" s="159">
        <f t="shared" si="2"/>
        <v>228</v>
      </c>
    </row>
    <row r="37" spans="2:11" s="110" customFormat="1" ht="15" customHeight="1" x14ac:dyDescent="0.25">
      <c r="B37" s="114">
        <v>411023</v>
      </c>
      <c r="C37" s="114" t="s">
        <v>329</v>
      </c>
      <c r="D37" s="115">
        <v>13</v>
      </c>
      <c r="E37" s="115">
        <v>13</v>
      </c>
      <c r="F37" s="114">
        <v>11</v>
      </c>
      <c r="G37" s="137">
        <v>12</v>
      </c>
      <c r="H37" s="147">
        <v>14</v>
      </c>
      <c r="I37" s="140">
        <v>22.8</v>
      </c>
      <c r="J37" s="160">
        <f t="shared" si="2"/>
        <v>319.2</v>
      </c>
    </row>
    <row r="38" spans="2:11" s="110" customFormat="1" ht="15" customHeight="1" x14ac:dyDescent="0.25">
      <c r="B38" s="117">
        <v>411029</v>
      </c>
      <c r="C38" s="117" t="s">
        <v>47</v>
      </c>
      <c r="D38" s="118">
        <v>42</v>
      </c>
      <c r="E38" s="118">
        <v>41</v>
      </c>
      <c r="F38" s="117">
        <v>38</v>
      </c>
      <c r="G38" s="138">
        <v>39</v>
      </c>
      <c r="H38" s="148">
        <f>26+13</f>
        <v>39</v>
      </c>
      <c r="I38" s="141">
        <v>22.8</v>
      </c>
      <c r="J38" s="158">
        <f t="shared" si="2"/>
        <v>889.2</v>
      </c>
    </row>
    <row r="39" spans="2:11" s="110" customFormat="1" ht="15" customHeight="1" x14ac:dyDescent="0.25">
      <c r="B39" s="111">
        <v>411030</v>
      </c>
      <c r="C39" s="111" t="s">
        <v>48</v>
      </c>
      <c r="D39" s="112">
        <v>23</v>
      </c>
      <c r="E39" s="112">
        <v>19</v>
      </c>
      <c r="F39" s="111">
        <v>19</v>
      </c>
      <c r="G39" s="111">
        <v>20</v>
      </c>
      <c r="H39" s="149">
        <v>21</v>
      </c>
      <c r="I39" s="139">
        <v>22.8</v>
      </c>
      <c r="J39" s="159">
        <f t="shared" si="2"/>
        <v>478.8</v>
      </c>
    </row>
    <row r="40" spans="2:11" s="110" customFormat="1" ht="15" customHeight="1" x14ac:dyDescent="0.25">
      <c r="B40" s="114">
        <v>411032</v>
      </c>
      <c r="C40" s="114" t="s">
        <v>50</v>
      </c>
      <c r="D40" s="115">
        <v>22</v>
      </c>
      <c r="E40" s="115">
        <v>21</v>
      </c>
      <c r="F40" s="114">
        <v>24</v>
      </c>
      <c r="G40" s="137">
        <v>24</v>
      </c>
      <c r="H40" s="150">
        <v>25</v>
      </c>
      <c r="I40" s="140">
        <v>22.8</v>
      </c>
      <c r="J40" s="160">
        <f t="shared" si="2"/>
        <v>570</v>
      </c>
    </row>
    <row r="41" spans="2:11" s="110" customFormat="1" ht="15" customHeight="1" x14ac:dyDescent="0.25">
      <c r="B41" s="117">
        <v>411036</v>
      </c>
      <c r="C41" s="117" t="s">
        <v>321</v>
      </c>
      <c r="D41" s="118">
        <v>0</v>
      </c>
      <c r="E41" s="118">
        <v>7</v>
      </c>
      <c r="F41" s="117">
        <v>7</v>
      </c>
      <c r="G41" s="117">
        <v>8</v>
      </c>
      <c r="H41" s="151">
        <v>9</v>
      </c>
      <c r="I41" s="141">
        <v>22.8</v>
      </c>
      <c r="J41" s="158">
        <f t="shared" si="2"/>
        <v>205.20000000000002</v>
      </c>
    </row>
    <row r="42" spans="2:11" s="110" customFormat="1" ht="15" customHeight="1" x14ac:dyDescent="0.25">
      <c r="B42" s="111">
        <v>411040</v>
      </c>
      <c r="C42" s="111" t="s">
        <v>146</v>
      </c>
      <c r="D42" s="112">
        <v>12</v>
      </c>
      <c r="E42" s="112">
        <v>12</v>
      </c>
      <c r="F42" s="111">
        <v>12</v>
      </c>
      <c r="G42" s="136">
        <v>19</v>
      </c>
      <c r="H42" s="149">
        <v>20</v>
      </c>
      <c r="I42" s="139">
        <v>22.8</v>
      </c>
      <c r="J42" s="159">
        <f t="shared" si="2"/>
        <v>456</v>
      </c>
    </row>
    <row r="43" spans="2:11" s="110" customFormat="1" ht="15" customHeight="1" x14ac:dyDescent="0.25">
      <c r="B43" s="114">
        <v>411041</v>
      </c>
      <c r="C43" s="114" t="s">
        <v>56</v>
      </c>
      <c r="D43" s="115">
        <v>16</v>
      </c>
      <c r="E43" s="115">
        <v>16</v>
      </c>
      <c r="F43" s="114">
        <v>16</v>
      </c>
      <c r="G43" s="114">
        <v>17</v>
      </c>
      <c r="H43" s="147">
        <v>24</v>
      </c>
      <c r="I43" s="140">
        <v>22.8</v>
      </c>
      <c r="J43" s="160">
        <f t="shared" si="2"/>
        <v>547.20000000000005</v>
      </c>
    </row>
    <row r="44" spans="2:11" s="110" customFormat="1" ht="15" customHeight="1" x14ac:dyDescent="0.25">
      <c r="B44" s="117">
        <v>411042</v>
      </c>
      <c r="C44" s="117" t="s">
        <v>57</v>
      </c>
      <c r="D44" s="118">
        <v>24</v>
      </c>
      <c r="E44" s="118">
        <v>24</v>
      </c>
      <c r="F44" s="117">
        <v>23</v>
      </c>
      <c r="G44" s="117">
        <v>24</v>
      </c>
      <c r="H44" s="151">
        <v>25</v>
      </c>
      <c r="I44" s="141">
        <v>22.8</v>
      </c>
      <c r="J44" s="158">
        <f t="shared" si="2"/>
        <v>570</v>
      </c>
    </row>
    <row r="45" spans="2:11" s="110" customFormat="1" ht="15" customHeight="1" x14ac:dyDescent="0.25">
      <c r="B45" s="111">
        <v>411043</v>
      </c>
      <c r="C45" s="111" t="s">
        <v>58</v>
      </c>
      <c r="D45" s="112">
        <v>14</v>
      </c>
      <c r="E45" s="112">
        <v>14</v>
      </c>
      <c r="F45" s="111">
        <v>14</v>
      </c>
      <c r="G45" s="111">
        <v>15</v>
      </c>
      <c r="H45" s="146">
        <v>15</v>
      </c>
      <c r="I45" s="139">
        <v>22.8</v>
      </c>
      <c r="J45" s="159">
        <f t="shared" si="2"/>
        <v>342</v>
      </c>
    </row>
    <row r="46" spans="2:11" s="110" customFormat="1" ht="15" customHeight="1" x14ac:dyDescent="0.25">
      <c r="B46" s="114">
        <v>411046</v>
      </c>
      <c r="C46" s="114" t="s">
        <v>60</v>
      </c>
      <c r="D46" s="115">
        <v>11</v>
      </c>
      <c r="E46" s="115">
        <v>11</v>
      </c>
      <c r="F46" s="114">
        <v>15</v>
      </c>
      <c r="G46" s="114">
        <v>16</v>
      </c>
      <c r="H46" s="150">
        <v>17</v>
      </c>
      <c r="I46" s="140">
        <v>22.8</v>
      </c>
      <c r="J46" s="160">
        <f t="shared" si="2"/>
        <v>387.6</v>
      </c>
    </row>
    <row r="47" spans="2:11" s="110" customFormat="1" ht="15" customHeight="1" x14ac:dyDescent="0.25">
      <c r="B47" s="127">
        <v>411047</v>
      </c>
      <c r="C47" s="127" t="s">
        <v>336</v>
      </c>
      <c r="D47" s="118">
        <v>12</v>
      </c>
      <c r="E47" s="118">
        <v>9</v>
      </c>
      <c r="F47" s="117">
        <v>9</v>
      </c>
      <c r="G47" s="117">
        <v>9</v>
      </c>
      <c r="H47" s="151">
        <v>10</v>
      </c>
      <c r="I47" s="141">
        <v>22.8</v>
      </c>
      <c r="J47" s="158">
        <f t="shared" si="2"/>
        <v>228</v>
      </c>
    </row>
    <row r="48" spans="2:11" s="110" customFormat="1" ht="28.95" customHeight="1" x14ac:dyDescent="0.25">
      <c r="B48" s="122"/>
      <c r="C48" s="122"/>
      <c r="D48" s="115"/>
      <c r="E48" s="114">
        <f>SUM(E29:E47)</f>
        <v>436</v>
      </c>
      <c r="F48" s="114">
        <f>SUM(F29:F47)</f>
        <v>437</v>
      </c>
      <c r="G48" s="114">
        <f>SUM(G29:G47)</f>
        <v>464</v>
      </c>
      <c r="H48" s="147">
        <f>SUM(H29:H47)</f>
        <v>471</v>
      </c>
      <c r="I48" s="114"/>
      <c r="J48" s="156">
        <f>SUM(J29:J47)</f>
        <v>10738.800000000001</v>
      </c>
      <c r="K48" s="114"/>
    </row>
    <row r="49" spans="1:12" s="110" customFormat="1" ht="15" customHeight="1" x14ac:dyDescent="0.25">
      <c r="B49" s="120">
        <v>411052</v>
      </c>
      <c r="C49" s="120" t="s">
        <v>337</v>
      </c>
      <c r="D49" s="112"/>
      <c r="E49" s="112"/>
      <c r="F49" s="111">
        <v>14</v>
      </c>
      <c r="G49" s="111">
        <v>11</v>
      </c>
      <c r="H49" s="146">
        <v>10</v>
      </c>
      <c r="I49" s="139">
        <f>2.9*3</f>
        <v>8.6999999999999993</v>
      </c>
      <c r="J49" s="155">
        <f t="shared" ref="J49:J54" si="3">+H49*I49</f>
        <v>87</v>
      </c>
    </row>
    <row r="50" spans="1:12" s="110" customFormat="1" ht="15" customHeight="1" x14ac:dyDescent="0.25">
      <c r="B50" s="114">
        <v>411044</v>
      </c>
      <c r="C50" s="114" t="s">
        <v>86</v>
      </c>
      <c r="D50" s="115">
        <v>72</v>
      </c>
      <c r="E50" s="115">
        <v>75</v>
      </c>
      <c r="F50" s="114">
        <v>75</v>
      </c>
      <c r="G50" s="114">
        <v>75</v>
      </c>
      <c r="H50" s="150">
        <v>76</v>
      </c>
      <c r="I50" s="140">
        <v>2.9</v>
      </c>
      <c r="J50" s="160">
        <f t="shared" si="3"/>
        <v>220.4</v>
      </c>
    </row>
    <row r="51" spans="1:12" s="110" customFormat="1" ht="15" customHeight="1" x14ac:dyDescent="0.25">
      <c r="B51" s="117">
        <v>411045</v>
      </c>
      <c r="C51" s="117" t="s">
        <v>59</v>
      </c>
      <c r="D51" s="118">
        <v>31</v>
      </c>
      <c r="E51" s="118">
        <v>31</v>
      </c>
      <c r="F51" s="117">
        <v>31</v>
      </c>
      <c r="G51" s="117">
        <v>31</v>
      </c>
      <c r="H51" s="151">
        <v>32</v>
      </c>
      <c r="I51" s="141">
        <v>2.9</v>
      </c>
      <c r="J51" s="158">
        <f t="shared" si="3"/>
        <v>92.8</v>
      </c>
    </row>
    <row r="52" spans="1:12" s="110" customFormat="1" ht="15" customHeight="1" x14ac:dyDescent="0.25">
      <c r="B52" s="120">
        <v>411051</v>
      </c>
      <c r="C52" s="120" t="s">
        <v>258</v>
      </c>
      <c r="D52" s="112">
        <v>21</v>
      </c>
      <c r="E52" s="112">
        <v>21</v>
      </c>
      <c r="F52" s="111">
        <v>21</v>
      </c>
      <c r="G52" s="111">
        <v>21</v>
      </c>
      <c r="H52" s="149">
        <v>22</v>
      </c>
      <c r="I52" s="139">
        <v>2.9</v>
      </c>
      <c r="J52" s="155">
        <f t="shared" si="3"/>
        <v>63.8</v>
      </c>
    </row>
    <row r="53" spans="1:12" s="110" customFormat="1" ht="15" customHeight="1" x14ac:dyDescent="0.25">
      <c r="B53" s="122">
        <v>411050</v>
      </c>
      <c r="C53" s="122" t="s">
        <v>226</v>
      </c>
      <c r="D53" s="115">
        <v>14</v>
      </c>
      <c r="E53" s="115"/>
      <c r="F53" s="114"/>
      <c r="G53" s="114"/>
      <c r="H53" s="147"/>
      <c r="I53" s="140">
        <v>0</v>
      </c>
      <c r="J53" s="156">
        <f t="shared" si="3"/>
        <v>0</v>
      </c>
    </row>
    <row r="54" spans="1:12" s="110" customFormat="1" ht="15" customHeight="1" x14ac:dyDescent="0.25">
      <c r="B54" s="114">
        <v>411031</v>
      </c>
      <c r="C54" s="114"/>
      <c r="D54" s="115"/>
      <c r="E54" s="115"/>
      <c r="F54" s="115"/>
      <c r="G54" s="115"/>
      <c r="H54" s="163"/>
      <c r="I54" s="140"/>
      <c r="J54" s="160">
        <f t="shared" si="3"/>
        <v>0</v>
      </c>
    </row>
    <row r="55" spans="1:12" s="92" customFormat="1" ht="31.5" customHeight="1" x14ac:dyDescent="0.25">
      <c r="A55" s="132"/>
      <c r="B55" s="133"/>
      <c r="C55" s="134"/>
      <c r="D55" s="135">
        <f>SUM(D2:D54)</f>
        <v>1408</v>
      </c>
      <c r="E55" s="135">
        <f>SUM(E2:E54)</f>
        <v>2677</v>
      </c>
      <c r="F55" s="135">
        <f>SUM(F2:F54)</f>
        <v>2627</v>
      </c>
      <c r="G55" s="135">
        <f>SUM(G2:G54)</f>
        <v>2700</v>
      </c>
      <c r="H55" s="135">
        <f>SUM(H2:H54)</f>
        <v>2664</v>
      </c>
      <c r="I55" s="132"/>
      <c r="J55" s="161">
        <f>SUM(J2:J54)</f>
        <v>156411.6</v>
      </c>
      <c r="L55" s="144"/>
    </row>
    <row r="56" spans="1:12" ht="15" customHeight="1" x14ac:dyDescent="0.25"/>
    <row r="57" spans="1:12" ht="15" customHeight="1" x14ac:dyDescent="0.25">
      <c r="J57" s="162">
        <v>78641.8</v>
      </c>
    </row>
    <row r="58" spans="1:12" ht="15" customHeight="1" x14ac:dyDescent="0.25"/>
    <row r="59" spans="1:12" ht="15" customHeight="1" x14ac:dyDescent="0.25">
      <c r="J59" s="162">
        <f>+J55-J57</f>
        <v>77769.8</v>
      </c>
    </row>
    <row r="60" spans="1:12" ht="15" customHeight="1" x14ac:dyDescent="0.25"/>
    <row r="61" spans="1:12" ht="15" customHeight="1" x14ac:dyDescent="0.25"/>
    <row r="62" spans="1:12" ht="15" customHeight="1" x14ac:dyDescent="0.25"/>
  </sheetData>
  <sortState xmlns:xlrd2="http://schemas.microsoft.com/office/spreadsheetml/2017/richdata2" ref="A3:L54">
    <sortCondition descending="1" ref="I3:I54"/>
  </sortState>
  <pageMargins left="0.78740157480314965" right="0.78740157480314965" top="0.98425196850393704" bottom="0.98425196850393704" header="0.51181102362204722" footer="0.51181102362204722"/>
  <pageSetup paperSize="9" scale="70" orientation="portrait" r:id="rId1"/>
  <headerFooter alignWithMargins="0">
    <oddFooter>&amp;C_x000D_&amp;1#&amp;"Aptos"&amp;10&amp;KFF0000 C2 -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9263-F8CA-4528-A0A1-23FA66FFC237}">
  <sheetPr>
    <pageSetUpPr fitToPage="1"/>
  </sheetPr>
  <dimension ref="A2:K60"/>
  <sheetViews>
    <sheetView zoomScaleNormal="100" workbookViewId="0">
      <selection activeCell="J50" sqref="J50:L53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9.44140625" style="82" customWidth="1"/>
    <col min="5" max="5" width="9.21875" style="82" customWidth="1"/>
    <col min="6" max="8" width="9.21875" style="52" customWidth="1"/>
    <col min="9" max="9" width="13" style="52" customWidth="1"/>
    <col min="10" max="10" width="11.6640625" style="52" bestFit="1" customWidth="1"/>
    <col min="11" max="16384" width="10.6640625" style="52"/>
  </cols>
  <sheetData>
    <row r="2" spans="1:10" ht="42" customHeight="1" x14ac:dyDescent="0.25">
      <c r="B2" s="54" t="s">
        <v>13</v>
      </c>
      <c r="C2" s="46" t="s">
        <v>61</v>
      </c>
      <c r="D2" s="55" t="s">
        <v>313</v>
      </c>
      <c r="E2" s="55" t="s">
        <v>319</v>
      </c>
      <c r="F2" s="55" t="s">
        <v>324</v>
      </c>
      <c r="G2" s="55" t="s">
        <v>333</v>
      </c>
      <c r="H2" s="46" t="s">
        <v>14</v>
      </c>
      <c r="I2" s="46" t="s">
        <v>334</v>
      </c>
    </row>
    <row r="3" spans="1:10" s="110" customFormat="1" ht="15" customHeight="1" x14ac:dyDescent="0.25">
      <c r="B3" s="111">
        <v>411001</v>
      </c>
      <c r="C3" s="111" t="s">
        <v>23</v>
      </c>
      <c r="D3" s="112">
        <v>77</v>
      </c>
      <c r="E3" s="112">
        <v>74</v>
      </c>
      <c r="F3" s="111">
        <v>73</v>
      </c>
      <c r="G3" s="111">
        <v>74</v>
      </c>
      <c r="H3" s="139">
        <v>85</v>
      </c>
      <c r="I3" s="113">
        <f t="shared" ref="I3:I34" si="0">+G3*H3</f>
        <v>6290</v>
      </c>
    </row>
    <row r="4" spans="1:10" s="110" customFormat="1" ht="15" customHeight="1" x14ac:dyDescent="0.25">
      <c r="B4" s="114">
        <v>411002</v>
      </c>
      <c r="C4" s="114" t="s">
        <v>24</v>
      </c>
      <c r="D4" s="115">
        <v>63</v>
      </c>
      <c r="E4" s="115">
        <v>62</v>
      </c>
      <c r="F4" s="114">
        <v>62</v>
      </c>
      <c r="G4" s="114">
        <v>63</v>
      </c>
      <c r="H4" s="140">
        <v>85</v>
      </c>
      <c r="I4" s="116">
        <f t="shared" si="0"/>
        <v>5355</v>
      </c>
    </row>
    <row r="5" spans="1:10" s="110" customFormat="1" ht="15" customHeight="1" x14ac:dyDescent="0.25">
      <c r="B5" s="117">
        <v>411003</v>
      </c>
      <c r="C5" s="117" t="s">
        <v>25</v>
      </c>
      <c r="D5" s="118">
        <v>49</v>
      </c>
      <c r="E5" s="118">
        <v>47</v>
      </c>
      <c r="F5" s="117">
        <v>47</v>
      </c>
      <c r="G5" s="138">
        <v>46</v>
      </c>
      <c r="H5" s="141">
        <v>85</v>
      </c>
      <c r="I5" s="119">
        <f t="shared" si="0"/>
        <v>3910</v>
      </c>
    </row>
    <row r="6" spans="1:10" s="110" customFormat="1" ht="15" customHeight="1" x14ac:dyDescent="0.25">
      <c r="B6" s="111">
        <v>411004</v>
      </c>
      <c r="C6" s="111" t="s">
        <v>26</v>
      </c>
      <c r="D6" s="112">
        <v>50</v>
      </c>
      <c r="E6" s="112">
        <v>48</v>
      </c>
      <c r="F6" s="111">
        <v>47</v>
      </c>
      <c r="G6" s="136">
        <v>50</v>
      </c>
      <c r="H6" s="139">
        <v>85</v>
      </c>
      <c r="I6" s="113">
        <f t="shared" si="0"/>
        <v>4250</v>
      </c>
    </row>
    <row r="7" spans="1:10" s="92" customFormat="1" ht="15" customHeight="1" x14ac:dyDescent="0.25">
      <c r="A7" s="110"/>
      <c r="B7" s="114">
        <v>411005</v>
      </c>
      <c r="C7" s="114" t="s">
        <v>27</v>
      </c>
      <c r="D7" s="115">
        <v>69</v>
      </c>
      <c r="E7" s="115">
        <v>67</v>
      </c>
      <c r="F7" s="114">
        <v>67</v>
      </c>
      <c r="G7" s="114">
        <v>68</v>
      </c>
      <c r="H7" s="140">
        <v>85</v>
      </c>
      <c r="I7" s="116">
        <f t="shared" si="0"/>
        <v>5780</v>
      </c>
      <c r="J7" s="110"/>
    </row>
    <row r="8" spans="1:10" s="110" customFormat="1" ht="15" customHeight="1" x14ac:dyDescent="0.25">
      <c r="B8" s="114">
        <v>411006</v>
      </c>
      <c r="C8" s="114" t="s">
        <v>28</v>
      </c>
      <c r="D8" s="115">
        <v>24</v>
      </c>
      <c r="E8" s="115">
        <v>24</v>
      </c>
      <c r="F8" s="114">
        <v>22</v>
      </c>
      <c r="G8" s="137">
        <v>22</v>
      </c>
      <c r="H8" s="140">
        <v>85</v>
      </c>
      <c r="I8" s="116">
        <f t="shared" si="0"/>
        <v>1870</v>
      </c>
    </row>
    <row r="9" spans="1:10" s="110" customFormat="1" ht="15" customHeight="1" x14ac:dyDescent="0.25">
      <c r="B9" s="117">
        <v>411007</v>
      </c>
      <c r="C9" s="117" t="s">
        <v>264</v>
      </c>
      <c r="D9" s="118">
        <v>42</v>
      </c>
      <c r="E9" s="118">
        <v>40</v>
      </c>
      <c r="F9" s="117">
        <v>38</v>
      </c>
      <c r="G9" s="117">
        <v>39</v>
      </c>
      <c r="H9" s="141">
        <v>85</v>
      </c>
      <c r="I9" s="119">
        <f t="shared" si="0"/>
        <v>3315</v>
      </c>
    </row>
    <row r="10" spans="1:10" s="110" customFormat="1" ht="15" customHeight="1" x14ac:dyDescent="0.25">
      <c r="B10" s="120">
        <v>411008</v>
      </c>
      <c r="C10" s="111" t="s">
        <v>29</v>
      </c>
      <c r="D10" s="112">
        <v>38</v>
      </c>
      <c r="E10" s="112">
        <v>41</v>
      </c>
      <c r="F10" s="111">
        <v>36</v>
      </c>
      <c r="G10" s="136">
        <v>35</v>
      </c>
      <c r="H10" s="139">
        <v>85</v>
      </c>
      <c r="I10" s="121">
        <f t="shared" si="0"/>
        <v>2975</v>
      </c>
    </row>
    <row r="11" spans="1:10" s="110" customFormat="1" ht="15" customHeight="1" x14ac:dyDescent="0.25">
      <c r="B11" s="122">
        <v>411009</v>
      </c>
      <c r="C11" s="114" t="s">
        <v>335</v>
      </c>
      <c r="D11" s="115">
        <v>47</v>
      </c>
      <c r="E11" s="115">
        <v>46</v>
      </c>
      <c r="F11" s="114">
        <v>46</v>
      </c>
      <c r="G11" s="137">
        <v>39</v>
      </c>
      <c r="H11" s="140">
        <v>85</v>
      </c>
      <c r="I11" s="123">
        <f t="shared" si="0"/>
        <v>3315</v>
      </c>
    </row>
    <row r="12" spans="1:10" s="110" customFormat="1" ht="15" customHeight="1" x14ac:dyDescent="0.25">
      <c r="B12" s="117">
        <v>411010</v>
      </c>
      <c r="C12" s="117" t="s">
        <v>30</v>
      </c>
      <c r="D12" s="118">
        <v>24</v>
      </c>
      <c r="E12" s="118">
        <v>23</v>
      </c>
      <c r="F12" s="117">
        <v>23</v>
      </c>
      <c r="G12" s="138">
        <v>22</v>
      </c>
      <c r="H12" s="141">
        <v>85</v>
      </c>
      <c r="I12" s="124">
        <f t="shared" si="0"/>
        <v>1870</v>
      </c>
    </row>
    <row r="13" spans="1:10" s="110" customFormat="1" ht="15" customHeight="1" x14ac:dyDescent="0.25">
      <c r="B13" s="111">
        <v>411011</v>
      </c>
      <c r="C13" s="111" t="s">
        <v>100</v>
      </c>
      <c r="D13" s="112">
        <v>24</v>
      </c>
      <c r="E13" s="112">
        <v>25</v>
      </c>
      <c r="F13" s="111">
        <v>24</v>
      </c>
      <c r="G13" s="111">
        <v>25</v>
      </c>
      <c r="H13" s="139">
        <v>85</v>
      </c>
      <c r="I13" s="125">
        <f t="shared" si="0"/>
        <v>2125</v>
      </c>
    </row>
    <row r="14" spans="1:10" s="110" customFormat="1" ht="15" customHeight="1" x14ac:dyDescent="0.25">
      <c r="B14" s="122">
        <v>411012</v>
      </c>
      <c r="C14" s="114" t="s">
        <v>31</v>
      </c>
      <c r="D14" s="115">
        <v>14</v>
      </c>
      <c r="E14" s="115">
        <v>44</v>
      </c>
      <c r="F14" s="114">
        <v>46</v>
      </c>
      <c r="G14" s="114">
        <v>47</v>
      </c>
      <c r="H14" s="140">
        <v>22.8</v>
      </c>
      <c r="I14" s="126">
        <f t="shared" si="0"/>
        <v>1071.6000000000001</v>
      </c>
    </row>
    <row r="15" spans="1:10" s="110" customFormat="1" ht="15" customHeight="1" x14ac:dyDescent="0.25">
      <c r="B15" s="117">
        <v>411013</v>
      </c>
      <c r="C15" s="117" t="s">
        <v>32</v>
      </c>
      <c r="D15" s="118">
        <v>39</v>
      </c>
      <c r="E15" s="118">
        <v>38</v>
      </c>
      <c r="F15" s="117">
        <v>42</v>
      </c>
      <c r="G15" s="138">
        <v>45</v>
      </c>
      <c r="H15" s="141">
        <v>22.8</v>
      </c>
      <c r="I15" s="124">
        <f t="shared" si="0"/>
        <v>1026</v>
      </c>
    </row>
    <row r="16" spans="1:10" s="110" customFormat="1" ht="15" customHeight="1" x14ac:dyDescent="0.25">
      <c r="B16" s="111">
        <v>411014</v>
      </c>
      <c r="C16" s="111" t="s">
        <v>33</v>
      </c>
      <c r="D16" s="112">
        <v>26</v>
      </c>
      <c r="E16" s="112">
        <v>29</v>
      </c>
      <c r="F16" s="111">
        <v>33</v>
      </c>
      <c r="G16" s="136">
        <v>42</v>
      </c>
      <c r="H16" s="139">
        <v>22.8</v>
      </c>
      <c r="I16" s="125">
        <f t="shared" si="0"/>
        <v>957.6</v>
      </c>
    </row>
    <row r="17" spans="1:10" s="110" customFormat="1" ht="15" customHeight="1" x14ac:dyDescent="0.25">
      <c r="B17" s="114">
        <v>411015</v>
      </c>
      <c r="C17" s="114" t="s">
        <v>34</v>
      </c>
      <c r="D17" s="115">
        <v>24</v>
      </c>
      <c r="E17" s="115">
        <v>24</v>
      </c>
      <c r="F17" s="114">
        <v>24</v>
      </c>
      <c r="G17" s="137">
        <v>23</v>
      </c>
      <c r="H17" s="140">
        <v>22.8</v>
      </c>
      <c r="I17" s="126">
        <f t="shared" si="0"/>
        <v>524.4</v>
      </c>
    </row>
    <row r="18" spans="1:10" s="110" customFormat="1" ht="15" customHeight="1" x14ac:dyDescent="0.25">
      <c r="B18" s="127">
        <v>411016</v>
      </c>
      <c r="C18" s="117" t="s">
        <v>35</v>
      </c>
      <c r="D18" s="118">
        <v>37</v>
      </c>
      <c r="E18" s="118">
        <v>36</v>
      </c>
      <c r="F18" s="117">
        <v>31</v>
      </c>
      <c r="G18" s="117">
        <v>28</v>
      </c>
      <c r="H18" s="141">
        <v>22.8</v>
      </c>
      <c r="I18" s="124">
        <f t="shared" si="0"/>
        <v>638.4</v>
      </c>
    </row>
    <row r="19" spans="1:10" s="110" customFormat="1" ht="15" customHeight="1" x14ac:dyDescent="0.25">
      <c r="B19" s="120">
        <v>411017</v>
      </c>
      <c r="C19" s="111" t="s">
        <v>36</v>
      </c>
      <c r="D19" s="112">
        <v>25</v>
      </c>
      <c r="E19" s="112">
        <v>29</v>
      </c>
      <c r="F19" s="111">
        <v>25</v>
      </c>
      <c r="G19" s="136">
        <v>25</v>
      </c>
      <c r="H19" s="139">
        <v>22.8</v>
      </c>
      <c r="I19" s="125">
        <f t="shared" si="0"/>
        <v>570</v>
      </c>
    </row>
    <row r="20" spans="1:10" s="110" customFormat="1" ht="15" customHeight="1" x14ac:dyDescent="0.25">
      <c r="B20" s="122">
        <v>411018</v>
      </c>
      <c r="C20" s="114" t="s">
        <v>37</v>
      </c>
      <c r="D20" s="115">
        <v>36</v>
      </c>
      <c r="E20" s="115">
        <v>36</v>
      </c>
      <c r="F20" s="114">
        <v>36</v>
      </c>
      <c r="G20" s="114">
        <v>37</v>
      </c>
      <c r="H20" s="140">
        <v>85</v>
      </c>
      <c r="I20" s="123">
        <f t="shared" si="0"/>
        <v>3145</v>
      </c>
      <c r="J20" s="110" t="s">
        <v>233</v>
      </c>
    </row>
    <row r="21" spans="1:10" s="110" customFormat="1" ht="15" customHeight="1" x14ac:dyDescent="0.25">
      <c r="B21" s="127">
        <v>411019</v>
      </c>
      <c r="C21" s="117" t="s">
        <v>38</v>
      </c>
      <c r="D21" s="118">
        <v>22</v>
      </c>
      <c r="E21" s="118">
        <v>23</v>
      </c>
      <c r="F21" s="117">
        <v>24</v>
      </c>
      <c r="G21" s="138">
        <v>25</v>
      </c>
      <c r="H21" s="141">
        <v>85</v>
      </c>
      <c r="I21" s="128">
        <f t="shared" si="0"/>
        <v>2125</v>
      </c>
    </row>
    <row r="22" spans="1:10" s="110" customFormat="1" ht="15" customHeight="1" x14ac:dyDescent="0.25">
      <c r="B22" s="120">
        <v>411020</v>
      </c>
      <c r="C22" s="111" t="s">
        <v>39</v>
      </c>
      <c r="D22" s="112">
        <v>25</v>
      </c>
      <c r="E22" s="112">
        <v>23</v>
      </c>
      <c r="F22" s="111">
        <v>16</v>
      </c>
      <c r="G22" s="111">
        <v>17</v>
      </c>
      <c r="H22" s="139">
        <v>85</v>
      </c>
      <c r="I22" s="121">
        <f t="shared" si="0"/>
        <v>1445</v>
      </c>
      <c r="J22" s="129"/>
    </row>
    <row r="23" spans="1:10" s="110" customFormat="1" ht="15" customHeight="1" x14ac:dyDescent="0.25">
      <c r="B23" s="114">
        <v>411021</v>
      </c>
      <c r="C23" s="114" t="s">
        <v>40</v>
      </c>
      <c r="D23" s="115">
        <v>41</v>
      </c>
      <c r="E23" s="115">
        <v>40</v>
      </c>
      <c r="F23" s="114">
        <v>39</v>
      </c>
      <c r="G23" s="137">
        <v>41</v>
      </c>
      <c r="H23" s="140">
        <v>22.8</v>
      </c>
      <c r="I23" s="126">
        <f t="shared" si="0"/>
        <v>934.80000000000007</v>
      </c>
    </row>
    <row r="24" spans="1:10" s="110" customFormat="1" ht="15" customHeight="1" x14ac:dyDescent="0.25">
      <c r="B24" s="117">
        <v>411022</v>
      </c>
      <c r="C24" s="117" t="s">
        <v>41</v>
      </c>
      <c r="D24" s="118">
        <v>9</v>
      </c>
      <c r="E24" s="118">
        <v>9</v>
      </c>
      <c r="F24" s="117">
        <v>9</v>
      </c>
      <c r="G24" s="117">
        <v>10</v>
      </c>
      <c r="H24" s="141">
        <v>22.8</v>
      </c>
      <c r="I24" s="124">
        <f t="shared" si="0"/>
        <v>228</v>
      </c>
    </row>
    <row r="25" spans="1:10" s="110" customFormat="1" ht="15" customHeight="1" x14ac:dyDescent="0.25">
      <c r="B25" s="111">
        <v>411023</v>
      </c>
      <c r="C25" s="111" t="s">
        <v>329</v>
      </c>
      <c r="D25" s="112">
        <v>13</v>
      </c>
      <c r="E25" s="112">
        <v>13</v>
      </c>
      <c r="F25" s="111">
        <v>11</v>
      </c>
      <c r="G25" s="136">
        <v>12</v>
      </c>
      <c r="H25" s="139">
        <v>22.8</v>
      </c>
      <c r="I25" s="125">
        <f t="shared" si="0"/>
        <v>273.60000000000002</v>
      </c>
    </row>
    <row r="26" spans="1:10" s="110" customFormat="1" ht="15" customHeight="1" x14ac:dyDescent="0.25">
      <c r="B26" s="114">
        <v>411025</v>
      </c>
      <c r="C26" s="114" t="s">
        <v>43</v>
      </c>
      <c r="D26" s="115">
        <v>49</v>
      </c>
      <c r="E26" s="115">
        <v>47</v>
      </c>
      <c r="F26" s="114">
        <v>45</v>
      </c>
      <c r="G26" s="137">
        <v>43</v>
      </c>
      <c r="H26" s="140">
        <v>85</v>
      </c>
      <c r="I26" s="126">
        <f t="shared" si="0"/>
        <v>3655</v>
      </c>
    </row>
    <row r="27" spans="1:10" s="110" customFormat="1" ht="15" customHeight="1" x14ac:dyDescent="0.25">
      <c r="B27" s="117">
        <v>411026</v>
      </c>
      <c r="C27" s="117" t="s">
        <v>44</v>
      </c>
      <c r="D27" s="118">
        <v>25</v>
      </c>
      <c r="E27" s="118">
        <v>24</v>
      </c>
      <c r="F27" s="117">
        <v>24</v>
      </c>
      <c r="G27" s="117">
        <v>25</v>
      </c>
      <c r="H27" s="141">
        <v>85</v>
      </c>
      <c r="I27" s="124">
        <f t="shared" si="0"/>
        <v>2125</v>
      </c>
    </row>
    <row r="28" spans="1:10" s="92" customFormat="1" ht="18.45" customHeight="1" x14ac:dyDescent="0.25">
      <c r="A28" s="110"/>
      <c r="B28" s="114">
        <v>411027</v>
      </c>
      <c r="C28" s="114" t="s">
        <v>45</v>
      </c>
      <c r="D28" s="115">
        <v>39</v>
      </c>
      <c r="E28" s="115">
        <v>25</v>
      </c>
      <c r="F28" s="114">
        <v>18</v>
      </c>
      <c r="G28" s="137">
        <v>20</v>
      </c>
      <c r="H28" s="140">
        <v>85</v>
      </c>
      <c r="I28" s="126">
        <f t="shared" si="0"/>
        <v>1700</v>
      </c>
      <c r="J28" s="110"/>
    </row>
    <row r="29" spans="1:10" s="110" customFormat="1" ht="15" customHeight="1" x14ac:dyDescent="0.25">
      <c r="B29" s="111">
        <v>411028</v>
      </c>
      <c r="C29" s="111" t="s">
        <v>46</v>
      </c>
      <c r="D29" s="112">
        <v>38</v>
      </c>
      <c r="E29" s="112">
        <v>37</v>
      </c>
      <c r="F29" s="111">
        <v>37</v>
      </c>
      <c r="G29" s="136">
        <v>39</v>
      </c>
      <c r="H29" s="139">
        <v>85</v>
      </c>
      <c r="I29" s="125">
        <f t="shared" si="0"/>
        <v>3315</v>
      </c>
    </row>
    <row r="30" spans="1:10" s="110" customFormat="1" ht="15" customHeight="1" x14ac:dyDescent="0.25">
      <c r="B30" s="114">
        <v>411029</v>
      </c>
      <c r="C30" s="114" t="s">
        <v>47</v>
      </c>
      <c r="D30" s="115">
        <v>42</v>
      </c>
      <c r="E30" s="115">
        <v>41</v>
      </c>
      <c r="F30" s="114">
        <v>38</v>
      </c>
      <c r="G30" s="137">
        <v>39</v>
      </c>
      <c r="H30" s="140">
        <v>22.8</v>
      </c>
      <c r="I30" s="126">
        <f t="shared" si="0"/>
        <v>889.2</v>
      </c>
    </row>
    <row r="31" spans="1:10" s="110" customFormat="1" ht="15" customHeight="1" x14ac:dyDescent="0.25">
      <c r="B31" s="117">
        <v>411030</v>
      </c>
      <c r="C31" s="117" t="s">
        <v>48</v>
      </c>
      <c r="D31" s="118">
        <v>23</v>
      </c>
      <c r="E31" s="118">
        <v>19</v>
      </c>
      <c r="F31" s="117">
        <v>19</v>
      </c>
      <c r="G31" s="117">
        <v>20</v>
      </c>
      <c r="H31" s="141">
        <v>22.8</v>
      </c>
      <c r="I31" s="124">
        <f t="shared" si="0"/>
        <v>456</v>
      </c>
    </row>
    <row r="32" spans="1:10" s="110" customFormat="1" ht="15" customHeight="1" x14ac:dyDescent="0.25">
      <c r="B32" s="111">
        <v>411031</v>
      </c>
      <c r="C32" s="111"/>
      <c r="D32" s="112"/>
      <c r="E32" s="112"/>
      <c r="F32" s="112"/>
      <c r="G32" s="112"/>
      <c r="H32" s="139"/>
      <c r="I32" s="125">
        <f t="shared" si="0"/>
        <v>0</v>
      </c>
    </row>
    <row r="33" spans="2:9" s="110" customFormat="1" ht="15" customHeight="1" x14ac:dyDescent="0.25">
      <c r="B33" s="114">
        <v>411032</v>
      </c>
      <c r="C33" s="114" t="s">
        <v>50</v>
      </c>
      <c r="D33" s="115">
        <v>22</v>
      </c>
      <c r="E33" s="115">
        <v>21</v>
      </c>
      <c r="F33" s="114">
        <v>24</v>
      </c>
      <c r="G33" s="137">
        <v>24</v>
      </c>
      <c r="H33" s="140">
        <v>22.8</v>
      </c>
      <c r="I33" s="126">
        <f t="shared" si="0"/>
        <v>547.20000000000005</v>
      </c>
    </row>
    <row r="34" spans="2:9" s="110" customFormat="1" ht="15" customHeight="1" x14ac:dyDescent="0.25">
      <c r="B34" s="117">
        <v>411033</v>
      </c>
      <c r="C34" s="117" t="s">
        <v>51</v>
      </c>
      <c r="D34" s="118">
        <v>37</v>
      </c>
      <c r="E34" s="118">
        <v>36</v>
      </c>
      <c r="F34" s="117">
        <v>33</v>
      </c>
      <c r="G34" s="138">
        <v>29</v>
      </c>
      <c r="H34" s="141">
        <v>85</v>
      </c>
      <c r="I34" s="124">
        <f t="shared" si="0"/>
        <v>2465</v>
      </c>
    </row>
    <row r="35" spans="2:9" s="110" customFormat="1" ht="15" customHeight="1" x14ac:dyDescent="0.25">
      <c r="B35" s="111">
        <v>411034</v>
      </c>
      <c r="C35" s="111" t="s">
        <v>52</v>
      </c>
      <c r="D35" s="112">
        <v>20</v>
      </c>
      <c r="E35" s="112">
        <v>20</v>
      </c>
      <c r="F35" s="111">
        <v>15</v>
      </c>
      <c r="G35" s="111">
        <v>18</v>
      </c>
      <c r="H35" s="139">
        <v>85</v>
      </c>
      <c r="I35" s="125">
        <f t="shared" ref="I35:I52" si="1">+G35*H35</f>
        <v>1530</v>
      </c>
    </row>
    <row r="36" spans="2:9" s="110" customFormat="1" ht="15" customHeight="1" x14ac:dyDescent="0.25">
      <c r="B36" s="114">
        <v>411035</v>
      </c>
      <c r="C36" s="114" t="s">
        <v>53</v>
      </c>
      <c r="D36" s="115">
        <v>24</v>
      </c>
      <c r="E36" s="115">
        <v>20</v>
      </c>
      <c r="F36" s="114">
        <v>20</v>
      </c>
      <c r="G36" s="114">
        <v>21</v>
      </c>
      <c r="H36" s="140">
        <v>85</v>
      </c>
      <c r="I36" s="126">
        <f t="shared" si="1"/>
        <v>1785</v>
      </c>
    </row>
    <row r="37" spans="2:9" s="110" customFormat="1" ht="15" customHeight="1" x14ac:dyDescent="0.25">
      <c r="B37" s="117">
        <v>411036</v>
      </c>
      <c r="C37" s="117" t="s">
        <v>321</v>
      </c>
      <c r="D37" s="118">
        <v>0</v>
      </c>
      <c r="E37" s="118">
        <v>7</v>
      </c>
      <c r="F37" s="117">
        <v>7</v>
      </c>
      <c r="G37" s="117">
        <v>8</v>
      </c>
      <c r="H37" s="141">
        <v>22.8</v>
      </c>
      <c r="I37" s="124">
        <f t="shared" si="1"/>
        <v>182.4</v>
      </c>
    </row>
    <row r="38" spans="2:9" s="110" customFormat="1" ht="15" customHeight="1" x14ac:dyDescent="0.25">
      <c r="B38" s="111">
        <v>411037</v>
      </c>
      <c r="C38" s="111" t="s">
        <v>54</v>
      </c>
      <c r="D38" s="112">
        <v>22</v>
      </c>
      <c r="E38" s="112">
        <v>18</v>
      </c>
      <c r="F38" s="111">
        <v>18</v>
      </c>
      <c r="G38" s="111">
        <v>20</v>
      </c>
      <c r="H38" s="139">
        <v>85</v>
      </c>
      <c r="I38" s="125">
        <f t="shared" si="1"/>
        <v>1700</v>
      </c>
    </row>
    <row r="39" spans="2:9" s="110" customFormat="1" ht="15" customHeight="1" x14ac:dyDescent="0.25">
      <c r="B39" s="114">
        <v>411038</v>
      </c>
      <c r="C39" s="114" t="s">
        <v>320</v>
      </c>
      <c r="D39" s="115"/>
      <c r="E39" s="115">
        <v>9</v>
      </c>
      <c r="F39" s="114">
        <v>12</v>
      </c>
      <c r="G39" s="137">
        <v>13</v>
      </c>
      <c r="H39" s="140">
        <v>85</v>
      </c>
      <c r="I39" s="126">
        <f t="shared" si="1"/>
        <v>1105</v>
      </c>
    </row>
    <row r="40" spans="2:9" s="110" customFormat="1" ht="15" customHeight="1" x14ac:dyDescent="0.25">
      <c r="B40" s="117">
        <v>411039</v>
      </c>
      <c r="C40" s="117" t="s">
        <v>55</v>
      </c>
      <c r="D40" s="130">
        <v>9</v>
      </c>
      <c r="E40" s="130">
        <v>10</v>
      </c>
      <c r="F40" s="131">
        <v>9</v>
      </c>
      <c r="G40" s="131">
        <v>10</v>
      </c>
      <c r="H40" s="142">
        <v>85</v>
      </c>
      <c r="I40" s="124">
        <f t="shared" si="1"/>
        <v>850</v>
      </c>
    </row>
    <row r="41" spans="2:9" s="110" customFormat="1" ht="15" customHeight="1" x14ac:dyDescent="0.25">
      <c r="B41" s="111">
        <v>411040</v>
      </c>
      <c r="C41" s="111" t="s">
        <v>146</v>
      </c>
      <c r="D41" s="112">
        <v>12</v>
      </c>
      <c r="E41" s="112">
        <v>12</v>
      </c>
      <c r="F41" s="111">
        <v>12</v>
      </c>
      <c r="G41" s="136">
        <v>19</v>
      </c>
      <c r="H41" s="139">
        <v>22.8</v>
      </c>
      <c r="I41" s="125">
        <f t="shared" si="1"/>
        <v>433.2</v>
      </c>
    </row>
    <row r="42" spans="2:9" s="110" customFormat="1" ht="15" customHeight="1" x14ac:dyDescent="0.25">
      <c r="B42" s="114">
        <v>411041</v>
      </c>
      <c r="C42" s="114" t="s">
        <v>56</v>
      </c>
      <c r="D42" s="115">
        <v>16</v>
      </c>
      <c r="E42" s="115">
        <v>16</v>
      </c>
      <c r="F42" s="114">
        <v>16</v>
      </c>
      <c r="G42" s="114">
        <v>17</v>
      </c>
      <c r="H42" s="140">
        <v>22.8</v>
      </c>
      <c r="I42" s="126">
        <f t="shared" si="1"/>
        <v>387.6</v>
      </c>
    </row>
    <row r="43" spans="2:9" s="110" customFormat="1" ht="15" customHeight="1" x14ac:dyDescent="0.25">
      <c r="B43" s="117">
        <v>411042</v>
      </c>
      <c r="C43" s="117" t="s">
        <v>57</v>
      </c>
      <c r="D43" s="118">
        <v>24</v>
      </c>
      <c r="E43" s="118">
        <v>24</v>
      </c>
      <c r="F43" s="117">
        <v>23</v>
      </c>
      <c r="G43" s="117">
        <v>24</v>
      </c>
      <c r="H43" s="141">
        <v>22.8</v>
      </c>
      <c r="I43" s="124">
        <f t="shared" si="1"/>
        <v>547.20000000000005</v>
      </c>
    </row>
    <row r="44" spans="2:9" s="110" customFormat="1" ht="15" customHeight="1" x14ac:dyDescent="0.25">
      <c r="B44" s="111">
        <v>411043</v>
      </c>
      <c r="C44" s="111" t="s">
        <v>58</v>
      </c>
      <c r="D44" s="112">
        <v>14</v>
      </c>
      <c r="E44" s="112">
        <v>14</v>
      </c>
      <c r="F44" s="111">
        <v>14</v>
      </c>
      <c r="G44" s="111">
        <v>15</v>
      </c>
      <c r="H44" s="139">
        <v>22.8</v>
      </c>
      <c r="I44" s="125">
        <f t="shared" si="1"/>
        <v>342</v>
      </c>
    </row>
    <row r="45" spans="2:9" s="110" customFormat="1" ht="15" customHeight="1" x14ac:dyDescent="0.25">
      <c r="B45" s="114">
        <v>411044</v>
      </c>
      <c r="C45" s="114" t="s">
        <v>86</v>
      </c>
      <c r="D45" s="115">
        <v>72</v>
      </c>
      <c r="E45" s="115">
        <v>75</v>
      </c>
      <c r="F45" s="114">
        <v>75</v>
      </c>
      <c r="G45" s="114">
        <v>75</v>
      </c>
      <c r="H45" s="140">
        <v>2.9</v>
      </c>
      <c r="I45" s="126">
        <f t="shared" si="1"/>
        <v>217.5</v>
      </c>
    </row>
    <row r="46" spans="2:9" s="110" customFormat="1" ht="15" customHeight="1" x14ac:dyDescent="0.25">
      <c r="B46" s="117">
        <v>411045</v>
      </c>
      <c r="C46" s="117" t="s">
        <v>59</v>
      </c>
      <c r="D46" s="118">
        <v>31</v>
      </c>
      <c r="E46" s="118">
        <v>31</v>
      </c>
      <c r="F46" s="117">
        <v>31</v>
      </c>
      <c r="G46" s="117">
        <v>31</v>
      </c>
      <c r="H46" s="141">
        <v>2.9</v>
      </c>
      <c r="I46" s="124">
        <f t="shared" si="1"/>
        <v>89.899999999999991</v>
      </c>
    </row>
    <row r="47" spans="2:9" s="110" customFormat="1" ht="15" customHeight="1" x14ac:dyDescent="0.25">
      <c r="B47" s="111">
        <v>411046</v>
      </c>
      <c r="C47" s="111" t="s">
        <v>60</v>
      </c>
      <c r="D47" s="112">
        <v>11</v>
      </c>
      <c r="E47" s="112">
        <v>11</v>
      </c>
      <c r="F47" s="111">
        <v>15</v>
      </c>
      <c r="G47" s="111">
        <v>16</v>
      </c>
      <c r="H47" s="139">
        <v>22.8</v>
      </c>
      <c r="I47" s="125">
        <f t="shared" si="1"/>
        <v>364.8</v>
      </c>
    </row>
    <row r="48" spans="2:9" s="110" customFormat="1" ht="15" customHeight="1" x14ac:dyDescent="0.25">
      <c r="B48" s="122">
        <v>411047</v>
      </c>
      <c r="C48" s="122" t="s">
        <v>336</v>
      </c>
      <c r="D48" s="115">
        <v>12</v>
      </c>
      <c r="E48" s="115">
        <v>9</v>
      </c>
      <c r="F48" s="114">
        <v>9</v>
      </c>
      <c r="G48" s="114">
        <v>9</v>
      </c>
      <c r="H48" s="140">
        <v>22.8</v>
      </c>
      <c r="I48" s="126">
        <f t="shared" si="1"/>
        <v>205.20000000000002</v>
      </c>
    </row>
    <row r="49" spans="1:11" s="110" customFormat="1" ht="15" customHeight="1" x14ac:dyDescent="0.25">
      <c r="B49" s="127">
        <v>411049</v>
      </c>
      <c r="C49" s="127" t="s">
        <v>225</v>
      </c>
      <c r="D49" s="118">
        <v>13</v>
      </c>
      <c r="E49" s="118">
        <v>14</v>
      </c>
      <c r="F49" s="117">
        <v>14</v>
      </c>
      <c r="G49" s="138">
        <v>17</v>
      </c>
      <c r="H49" s="141">
        <v>85</v>
      </c>
      <c r="I49" s="128">
        <f t="shared" si="1"/>
        <v>1445</v>
      </c>
    </row>
    <row r="50" spans="1:11" s="110" customFormat="1" ht="15" customHeight="1" x14ac:dyDescent="0.25">
      <c r="B50" s="120">
        <v>411050</v>
      </c>
      <c r="C50" s="120" t="s">
        <v>226</v>
      </c>
      <c r="D50" s="112">
        <v>14</v>
      </c>
      <c r="E50" s="112"/>
      <c r="F50" s="111"/>
      <c r="G50" s="111"/>
      <c r="H50" s="139">
        <v>0</v>
      </c>
      <c r="I50" s="121">
        <f t="shared" si="1"/>
        <v>0</v>
      </c>
    </row>
    <row r="51" spans="1:11" s="110" customFormat="1" ht="15" customHeight="1" x14ac:dyDescent="0.25">
      <c r="B51" s="122">
        <v>411051</v>
      </c>
      <c r="C51" s="122" t="s">
        <v>258</v>
      </c>
      <c r="D51" s="115">
        <v>21</v>
      </c>
      <c r="E51" s="115">
        <v>21</v>
      </c>
      <c r="F51" s="114">
        <v>21</v>
      </c>
      <c r="G51" s="114">
        <v>21</v>
      </c>
      <c r="H51" s="140">
        <v>2.9</v>
      </c>
      <c r="I51" s="123">
        <f t="shared" ref="I51" si="2">+G51*H51</f>
        <v>60.9</v>
      </c>
    </row>
    <row r="52" spans="1:11" s="110" customFormat="1" ht="15" customHeight="1" x14ac:dyDescent="0.25">
      <c r="B52" s="122">
        <v>411052</v>
      </c>
      <c r="C52" s="122" t="s">
        <v>337</v>
      </c>
      <c r="D52" s="115"/>
      <c r="E52" s="115"/>
      <c r="F52" s="114">
        <v>14</v>
      </c>
      <c r="G52" s="114">
        <v>11</v>
      </c>
      <c r="H52" s="140">
        <f>2.9*4</f>
        <v>11.6</v>
      </c>
      <c r="I52" s="123">
        <f t="shared" si="1"/>
        <v>127.6</v>
      </c>
    </row>
    <row r="53" spans="1:11" s="92" customFormat="1" ht="31.5" customHeight="1" x14ac:dyDescent="0.25">
      <c r="A53" s="132"/>
      <c r="B53" s="133"/>
      <c r="C53" s="134"/>
      <c r="D53" s="135">
        <f>SUM(D2:D52)</f>
        <v>1408</v>
      </c>
      <c r="E53" s="135">
        <f>SUM(E2:E52)</f>
        <v>1402</v>
      </c>
      <c r="F53" s="135">
        <f>SUM(F2:F52)</f>
        <v>1384</v>
      </c>
      <c r="G53" s="135">
        <f>SUM(G2:G52)</f>
        <v>1419</v>
      </c>
      <c r="H53" s="132"/>
      <c r="I53" s="143">
        <f>SUM(I2:I52)</f>
        <v>80520.099999999991</v>
      </c>
      <c r="K53" s="144"/>
    </row>
    <row r="54" spans="1:11" ht="15" customHeight="1" x14ac:dyDescent="0.25"/>
    <row r="55" spans="1:11" ht="15" customHeight="1" x14ac:dyDescent="0.25"/>
    <row r="56" spans="1:11" ht="15" customHeight="1" x14ac:dyDescent="0.25"/>
    <row r="57" spans="1:11" ht="15" customHeight="1" x14ac:dyDescent="0.25"/>
    <row r="58" spans="1:11" ht="15" customHeight="1" x14ac:dyDescent="0.25"/>
    <row r="59" spans="1:11" ht="15" customHeight="1" x14ac:dyDescent="0.25"/>
    <row r="60" spans="1:11" ht="15" customHeight="1" x14ac:dyDescent="0.25"/>
  </sheetData>
  <sortState xmlns:xlrd2="http://schemas.microsoft.com/office/spreadsheetml/2017/richdata2" ref="A3:J52">
    <sortCondition ref="B3:B52"/>
  </sortState>
  <pageMargins left="0.78740157480314965" right="0.78740157480314965" top="0.98425196850393704" bottom="0.98425196850393704" header="0.51181102362204722" footer="0.51181102362204722"/>
  <pageSetup paperSize="9" scale="80" orientation="portrait" r:id="rId1"/>
  <headerFooter alignWithMargins="0">
    <oddFooter>&amp;C_x000D_&amp;1#&amp;"Aptos"&amp;10&amp;KFF0000 C2 - Restreint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EF6E-2858-4E15-A7E5-A20F424E9A6F}">
  <sheetPr>
    <pageSetUpPr fitToPage="1"/>
  </sheetPr>
  <dimension ref="A2:J59"/>
  <sheetViews>
    <sheetView topLeftCell="B1" zoomScaleNormal="100" workbookViewId="0">
      <selection activeCell="J38" sqref="J38"/>
    </sheetView>
  </sheetViews>
  <sheetFormatPr baseColWidth="10" defaultColWidth="10.6640625" defaultRowHeight="13.2" x14ac:dyDescent="0.25"/>
  <cols>
    <col min="1" max="1" width="7.5546875" style="52" customWidth="1"/>
    <col min="2" max="2" width="11.77734375" style="52" customWidth="1"/>
    <col min="3" max="3" width="36.6640625" style="52" customWidth="1"/>
    <col min="4" max="4" width="15.6640625" style="82" customWidth="1"/>
    <col min="5" max="5" width="9.21875" style="82" customWidth="1"/>
    <col min="6" max="8" width="9.21875" style="52" customWidth="1"/>
    <col min="9" max="9" width="13" style="109" customWidth="1"/>
    <col min="10" max="10" width="11.6640625" style="52" bestFit="1" customWidth="1"/>
    <col min="11" max="16384" width="10.6640625" style="52"/>
  </cols>
  <sheetData>
    <row r="2" spans="1:10" ht="42" customHeight="1" x14ac:dyDescent="0.25">
      <c r="B2" s="54" t="s">
        <v>13</v>
      </c>
      <c r="C2" s="46" t="s">
        <v>61</v>
      </c>
      <c r="D2" s="55" t="s">
        <v>313</v>
      </c>
      <c r="E2" s="55" t="s">
        <v>330</v>
      </c>
      <c r="F2" s="55" t="s">
        <v>331</v>
      </c>
      <c r="G2" s="55" t="s">
        <v>332</v>
      </c>
      <c r="H2" s="46" t="s">
        <v>14</v>
      </c>
      <c r="I2" s="94" t="s">
        <v>326</v>
      </c>
    </row>
    <row r="3" spans="1:10" ht="15" customHeight="1" x14ac:dyDescent="0.25">
      <c r="B3" s="56">
        <v>411001</v>
      </c>
      <c r="C3" s="56" t="s">
        <v>23</v>
      </c>
      <c r="D3" s="57">
        <v>77</v>
      </c>
      <c r="E3" s="57">
        <v>74</v>
      </c>
      <c r="F3" s="56">
        <v>73</v>
      </c>
      <c r="G3" s="56">
        <v>73</v>
      </c>
      <c r="H3" s="58">
        <v>80</v>
      </c>
      <c r="I3" s="95">
        <f t="shared" ref="I3:I34" si="0">+F3*H3</f>
        <v>5840</v>
      </c>
    </row>
    <row r="4" spans="1:10" ht="15" customHeight="1" x14ac:dyDescent="0.25">
      <c r="B4" s="59">
        <v>411002</v>
      </c>
      <c r="C4" s="59" t="s">
        <v>24</v>
      </c>
      <c r="D4" s="79">
        <v>63</v>
      </c>
      <c r="E4" s="83">
        <v>62</v>
      </c>
      <c r="F4" s="60">
        <v>62</v>
      </c>
      <c r="G4" s="60">
        <v>62</v>
      </c>
      <c r="H4" s="61">
        <v>80</v>
      </c>
      <c r="I4" s="96">
        <f t="shared" si="0"/>
        <v>4960</v>
      </c>
    </row>
    <row r="5" spans="1:10" ht="15" customHeight="1" x14ac:dyDescent="0.25">
      <c r="B5" s="62">
        <v>411003</v>
      </c>
      <c r="C5" s="62" t="s">
        <v>25</v>
      </c>
      <c r="D5" s="73">
        <v>49</v>
      </c>
      <c r="E5" s="73">
        <v>47</v>
      </c>
      <c r="F5" s="63">
        <v>47</v>
      </c>
      <c r="G5" s="63">
        <v>47</v>
      </c>
      <c r="H5" s="64">
        <v>80</v>
      </c>
      <c r="I5" s="97">
        <f t="shared" si="0"/>
        <v>3760</v>
      </c>
    </row>
    <row r="6" spans="1:10" ht="15" customHeight="1" x14ac:dyDescent="0.25">
      <c r="B6" s="65">
        <v>411004</v>
      </c>
      <c r="C6" s="65" t="s">
        <v>26</v>
      </c>
      <c r="D6" s="80">
        <v>50</v>
      </c>
      <c r="E6" s="80">
        <v>48</v>
      </c>
      <c r="F6" s="65">
        <v>47</v>
      </c>
      <c r="G6" s="65">
        <v>47</v>
      </c>
      <c r="H6" s="66">
        <v>80</v>
      </c>
      <c r="I6" s="98">
        <f t="shared" si="0"/>
        <v>3760</v>
      </c>
    </row>
    <row r="7" spans="1:10" s="41" customFormat="1" ht="15" customHeight="1" x14ac:dyDescent="0.25">
      <c r="A7" s="52"/>
      <c r="B7" s="67">
        <v>411005</v>
      </c>
      <c r="C7" s="67" t="s">
        <v>27</v>
      </c>
      <c r="D7" s="68">
        <v>69</v>
      </c>
      <c r="E7" s="68">
        <v>67</v>
      </c>
      <c r="F7" s="60">
        <v>67</v>
      </c>
      <c r="G7" s="60">
        <v>67</v>
      </c>
      <c r="H7" s="69">
        <v>80</v>
      </c>
      <c r="I7" s="99">
        <f t="shared" si="0"/>
        <v>5360</v>
      </c>
      <c r="J7" s="52"/>
    </row>
    <row r="8" spans="1:10" ht="15" customHeight="1" x14ac:dyDescent="0.25">
      <c r="B8" s="59">
        <v>411006</v>
      </c>
      <c r="C8" s="59" t="s">
        <v>28</v>
      </c>
      <c r="D8" s="79">
        <v>24</v>
      </c>
      <c r="E8" s="83">
        <v>24</v>
      </c>
      <c r="F8" s="59">
        <v>22</v>
      </c>
      <c r="G8" s="59">
        <v>22</v>
      </c>
      <c r="H8" s="61">
        <v>80</v>
      </c>
      <c r="I8" s="96">
        <f t="shared" si="0"/>
        <v>1760</v>
      </c>
    </row>
    <row r="9" spans="1:10" ht="15" customHeight="1" x14ac:dyDescent="0.25">
      <c r="B9" s="62">
        <v>411007</v>
      </c>
      <c r="C9" s="62" t="s">
        <v>264</v>
      </c>
      <c r="D9" s="73">
        <v>42</v>
      </c>
      <c r="E9" s="73">
        <v>40</v>
      </c>
      <c r="F9" s="62">
        <v>38</v>
      </c>
      <c r="G9" s="62">
        <v>38</v>
      </c>
      <c r="H9" s="64">
        <v>80</v>
      </c>
      <c r="I9" s="97">
        <f t="shared" si="0"/>
        <v>3040</v>
      </c>
    </row>
    <row r="10" spans="1:10" ht="15" customHeight="1" x14ac:dyDescent="0.25">
      <c r="B10" s="77">
        <v>411008</v>
      </c>
      <c r="C10" s="65" t="s">
        <v>29</v>
      </c>
      <c r="D10" s="80">
        <v>38</v>
      </c>
      <c r="E10" s="80">
        <v>41</v>
      </c>
      <c r="F10" s="65">
        <v>36</v>
      </c>
      <c r="G10" s="65">
        <v>36</v>
      </c>
      <c r="H10" s="66">
        <v>80</v>
      </c>
      <c r="I10" s="98">
        <f t="shared" si="0"/>
        <v>2880</v>
      </c>
    </row>
    <row r="11" spans="1:10" ht="15" customHeight="1" x14ac:dyDescent="0.25">
      <c r="B11" s="93">
        <v>411009</v>
      </c>
      <c r="C11" s="67" t="s">
        <v>69</v>
      </c>
      <c r="D11" s="68">
        <v>47</v>
      </c>
      <c r="E11" s="83">
        <v>46</v>
      </c>
      <c r="F11" s="60">
        <v>45</v>
      </c>
      <c r="G11" s="60">
        <v>45</v>
      </c>
      <c r="H11" s="69">
        <v>80</v>
      </c>
      <c r="I11" s="99">
        <f t="shared" si="0"/>
        <v>3600</v>
      </c>
    </row>
    <row r="12" spans="1:10" ht="15" customHeight="1" x14ac:dyDescent="0.25">
      <c r="B12" s="53">
        <v>411010</v>
      </c>
      <c r="C12" s="53" t="s">
        <v>30</v>
      </c>
      <c r="D12" s="81">
        <v>24</v>
      </c>
      <c r="E12" s="81">
        <v>23</v>
      </c>
      <c r="F12" s="53">
        <v>23</v>
      </c>
      <c r="G12" s="53">
        <v>23</v>
      </c>
      <c r="H12" s="70">
        <v>80</v>
      </c>
      <c r="I12" s="100">
        <f t="shared" si="0"/>
        <v>1840</v>
      </c>
    </row>
    <row r="13" spans="1:10" ht="15" customHeight="1" x14ac:dyDescent="0.25">
      <c r="B13" s="56">
        <v>411011</v>
      </c>
      <c r="C13" s="56" t="s">
        <v>100</v>
      </c>
      <c r="D13" s="57">
        <v>24</v>
      </c>
      <c r="E13" s="57">
        <v>25</v>
      </c>
      <c r="F13" s="56">
        <v>24</v>
      </c>
      <c r="G13" s="56">
        <v>24</v>
      </c>
      <c r="H13" s="58">
        <v>80</v>
      </c>
      <c r="I13" s="101">
        <f t="shared" si="0"/>
        <v>1920</v>
      </c>
    </row>
    <row r="14" spans="1:10" ht="15" customHeight="1" x14ac:dyDescent="0.25">
      <c r="B14" s="71">
        <v>411012</v>
      </c>
      <c r="C14" s="59" t="s">
        <v>31</v>
      </c>
      <c r="D14" s="79">
        <v>14</v>
      </c>
      <c r="E14" s="79">
        <v>44</v>
      </c>
      <c r="F14" s="59">
        <v>46</v>
      </c>
      <c r="G14" s="59">
        <v>46</v>
      </c>
      <c r="H14" s="61">
        <v>21.5</v>
      </c>
      <c r="I14" s="102">
        <f t="shared" si="0"/>
        <v>989</v>
      </c>
    </row>
    <row r="15" spans="1:10" ht="15" customHeight="1" x14ac:dyDescent="0.25">
      <c r="B15" s="62">
        <v>411013</v>
      </c>
      <c r="C15" s="62" t="s">
        <v>32</v>
      </c>
      <c r="D15" s="73">
        <v>39</v>
      </c>
      <c r="E15" s="84">
        <v>38</v>
      </c>
      <c r="F15" s="62">
        <v>42</v>
      </c>
      <c r="G15" s="62">
        <v>42</v>
      </c>
      <c r="H15" s="64">
        <v>21.5</v>
      </c>
      <c r="I15" s="103">
        <f t="shared" si="0"/>
        <v>903</v>
      </c>
    </row>
    <row r="16" spans="1:10" ht="15" customHeight="1" x14ac:dyDescent="0.25">
      <c r="B16" s="65">
        <v>411014</v>
      </c>
      <c r="C16" s="65" t="s">
        <v>33</v>
      </c>
      <c r="D16" s="80">
        <v>26</v>
      </c>
      <c r="E16" s="80">
        <v>29</v>
      </c>
      <c r="F16" s="65">
        <v>33</v>
      </c>
      <c r="G16" s="65">
        <v>33</v>
      </c>
      <c r="H16" s="66">
        <v>21.5</v>
      </c>
      <c r="I16" s="104">
        <f t="shared" si="0"/>
        <v>709.5</v>
      </c>
    </row>
    <row r="17" spans="1:10" ht="15" customHeight="1" x14ac:dyDescent="0.25">
      <c r="B17" s="67">
        <v>411015</v>
      </c>
      <c r="C17" s="67" t="s">
        <v>34</v>
      </c>
      <c r="D17" s="68">
        <v>24</v>
      </c>
      <c r="E17" s="68">
        <v>24</v>
      </c>
      <c r="F17" s="60">
        <v>24</v>
      </c>
      <c r="G17" s="60">
        <v>24</v>
      </c>
      <c r="H17" s="69">
        <v>21.5</v>
      </c>
      <c r="I17" s="105">
        <f t="shared" si="0"/>
        <v>516</v>
      </c>
    </row>
    <row r="18" spans="1:10" ht="15" customHeight="1" x14ac:dyDescent="0.25">
      <c r="B18" s="74">
        <v>411016</v>
      </c>
      <c r="C18" s="53" t="s">
        <v>35</v>
      </c>
      <c r="D18" s="81">
        <v>37</v>
      </c>
      <c r="E18" s="84">
        <v>36</v>
      </c>
      <c r="F18" s="53">
        <v>31</v>
      </c>
      <c r="G18" s="53">
        <v>31</v>
      </c>
      <c r="H18" s="70">
        <v>21.5</v>
      </c>
      <c r="I18" s="100">
        <f t="shared" si="0"/>
        <v>666.5</v>
      </c>
    </row>
    <row r="19" spans="1:10" ht="15" customHeight="1" x14ac:dyDescent="0.25">
      <c r="B19" s="75">
        <v>411017</v>
      </c>
      <c r="C19" s="56" t="s">
        <v>36</v>
      </c>
      <c r="D19" s="57">
        <v>25</v>
      </c>
      <c r="E19" s="57">
        <v>29</v>
      </c>
      <c r="F19" s="56">
        <v>25</v>
      </c>
      <c r="G19" s="56">
        <v>25</v>
      </c>
      <c r="H19" s="58">
        <v>21.5</v>
      </c>
      <c r="I19" s="101">
        <f t="shared" si="0"/>
        <v>537.5</v>
      </c>
    </row>
    <row r="20" spans="1:10" ht="15" customHeight="1" x14ac:dyDescent="0.25">
      <c r="B20" s="71">
        <v>411018</v>
      </c>
      <c r="C20" s="59" t="s">
        <v>37</v>
      </c>
      <c r="D20" s="79">
        <v>36</v>
      </c>
      <c r="E20" s="79">
        <v>36</v>
      </c>
      <c r="F20" s="60">
        <v>36</v>
      </c>
      <c r="G20" s="60">
        <v>36</v>
      </c>
      <c r="H20" s="61">
        <v>80</v>
      </c>
      <c r="I20" s="96">
        <f t="shared" si="0"/>
        <v>2880</v>
      </c>
      <c r="J20" s="52" t="s">
        <v>233</v>
      </c>
    </row>
    <row r="21" spans="1:10" ht="15" customHeight="1" x14ac:dyDescent="0.25">
      <c r="B21" s="72">
        <v>411019</v>
      </c>
      <c r="C21" s="62" t="s">
        <v>38</v>
      </c>
      <c r="D21" s="73">
        <v>22</v>
      </c>
      <c r="E21" s="73">
        <v>23</v>
      </c>
      <c r="F21" s="62">
        <v>24</v>
      </c>
      <c r="G21" s="62">
        <v>24</v>
      </c>
      <c r="H21" s="64">
        <v>80</v>
      </c>
      <c r="I21" s="97">
        <f t="shared" si="0"/>
        <v>1920</v>
      </c>
    </row>
    <row r="22" spans="1:10" ht="15" customHeight="1" x14ac:dyDescent="0.25">
      <c r="B22" s="77">
        <v>411020</v>
      </c>
      <c r="C22" s="65" t="s">
        <v>39</v>
      </c>
      <c r="D22" s="80">
        <v>25</v>
      </c>
      <c r="E22" s="80">
        <v>23</v>
      </c>
      <c r="F22" s="65">
        <v>16</v>
      </c>
      <c r="G22" s="65">
        <v>16</v>
      </c>
      <c r="H22" s="66">
        <v>80</v>
      </c>
      <c r="I22" s="98">
        <f t="shared" si="0"/>
        <v>1280</v>
      </c>
      <c r="J22" s="9"/>
    </row>
    <row r="23" spans="1:10" ht="15" customHeight="1" x14ac:dyDescent="0.25">
      <c r="B23" s="67">
        <v>411021</v>
      </c>
      <c r="C23" s="67" t="s">
        <v>40</v>
      </c>
      <c r="D23" s="68">
        <v>41</v>
      </c>
      <c r="E23" s="83">
        <v>40</v>
      </c>
      <c r="F23" s="67">
        <v>39</v>
      </c>
      <c r="G23" s="67">
        <v>39</v>
      </c>
      <c r="H23" s="69">
        <v>21.5</v>
      </c>
      <c r="I23" s="105">
        <f t="shared" si="0"/>
        <v>838.5</v>
      </c>
    </row>
    <row r="24" spans="1:10" ht="15" customHeight="1" x14ac:dyDescent="0.25">
      <c r="B24" s="53">
        <v>411022</v>
      </c>
      <c r="C24" s="53" t="s">
        <v>41</v>
      </c>
      <c r="D24" s="81">
        <v>9</v>
      </c>
      <c r="E24" s="84">
        <v>9</v>
      </c>
      <c r="F24" s="53">
        <v>9</v>
      </c>
      <c r="G24" s="53">
        <v>9</v>
      </c>
      <c r="H24" s="70">
        <v>21.5</v>
      </c>
      <c r="I24" s="100">
        <f t="shared" si="0"/>
        <v>193.5</v>
      </c>
    </row>
    <row r="25" spans="1:10" ht="15" customHeight="1" x14ac:dyDescent="0.25">
      <c r="B25" s="56">
        <v>411023</v>
      </c>
      <c r="C25" s="56" t="s">
        <v>329</v>
      </c>
      <c r="D25" s="57">
        <v>13</v>
      </c>
      <c r="E25" s="85">
        <v>13</v>
      </c>
      <c r="F25" s="56">
        <v>11</v>
      </c>
      <c r="G25" s="56">
        <v>11</v>
      </c>
      <c r="H25" s="58">
        <v>21.5</v>
      </c>
      <c r="I25" s="101">
        <f t="shared" si="0"/>
        <v>236.5</v>
      </c>
    </row>
    <row r="26" spans="1:10" ht="15" customHeight="1" x14ac:dyDescent="0.25">
      <c r="B26" s="67">
        <v>411025</v>
      </c>
      <c r="C26" s="67" t="s">
        <v>43</v>
      </c>
      <c r="D26" s="68">
        <v>49</v>
      </c>
      <c r="E26" s="68">
        <v>47</v>
      </c>
      <c r="F26" s="67">
        <v>45</v>
      </c>
      <c r="G26" s="67">
        <v>45</v>
      </c>
      <c r="H26" s="69">
        <v>80</v>
      </c>
      <c r="I26" s="105">
        <f t="shared" si="0"/>
        <v>3600</v>
      </c>
    </row>
    <row r="27" spans="1:10" ht="15" customHeight="1" x14ac:dyDescent="0.25">
      <c r="B27" s="53">
        <v>411026</v>
      </c>
      <c r="C27" s="53" t="s">
        <v>44</v>
      </c>
      <c r="D27" s="81">
        <v>25</v>
      </c>
      <c r="E27" s="84">
        <v>24</v>
      </c>
      <c r="F27" s="63">
        <v>24</v>
      </c>
      <c r="G27" s="63">
        <v>24</v>
      </c>
      <c r="H27" s="70">
        <v>80</v>
      </c>
      <c r="I27" s="100">
        <f t="shared" si="0"/>
        <v>1920</v>
      </c>
    </row>
    <row r="28" spans="1:10" s="92" customFormat="1" ht="26.7" customHeight="1" x14ac:dyDescent="0.25">
      <c r="A28" s="52"/>
      <c r="B28" s="67">
        <v>411027</v>
      </c>
      <c r="C28" s="67" t="s">
        <v>45</v>
      </c>
      <c r="D28" s="68">
        <v>39</v>
      </c>
      <c r="E28" s="68">
        <v>25</v>
      </c>
      <c r="F28" s="67">
        <v>18</v>
      </c>
      <c r="G28" s="67">
        <v>18</v>
      </c>
      <c r="H28" s="69">
        <v>80</v>
      </c>
      <c r="I28" s="105">
        <f t="shared" si="0"/>
        <v>1440</v>
      </c>
      <c r="J28" s="52"/>
    </row>
    <row r="29" spans="1:10" ht="15" customHeight="1" x14ac:dyDescent="0.25">
      <c r="B29" s="65">
        <v>411028</v>
      </c>
      <c r="C29" s="65" t="s">
        <v>46</v>
      </c>
      <c r="D29" s="80">
        <v>38</v>
      </c>
      <c r="E29" s="85">
        <v>37</v>
      </c>
      <c r="F29" s="65">
        <v>37</v>
      </c>
      <c r="G29" s="65">
        <v>37</v>
      </c>
      <c r="H29" s="66">
        <v>80</v>
      </c>
      <c r="I29" s="104">
        <f t="shared" si="0"/>
        <v>2960</v>
      </c>
    </row>
    <row r="30" spans="1:10" ht="15" customHeight="1" x14ac:dyDescent="0.25">
      <c r="B30" s="67">
        <v>411029</v>
      </c>
      <c r="C30" s="67" t="s">
        <v>47</v>
      </c>
      <c r="D30" s="68">
        <v>42</v>
      </c>
      <c r="E30" s="83">
        <v>41</v>
      </c>
      <c r="F30" s="67">
        <v>38</v>
      </c>
      <c r="G30" s="67">
        <v>38</v>
      </c>
      <c r="H30" s="69">
        <v>21.5</v>
      </c>
      <c r="I30" s="105">
        <f t="shared" si="0"/>
        <v>817</v>
      </c>
    </row>
    <row r="31" spans="1:10" ht="15" customHeight="1" x14ac:dyDescent="0.25">
      <c r="B31" s="53">
        <v>411030</v>
      </c>
      <c r="C31" s="53" t="s">
        <v>48</v>
      </c>
      <c r="D31" s="81">
        <v>23</v>
      </c>
      <c r="E31" s="81">
        <v>19</v>
      </c>
      <c r="F31" s="63">
        <v>19</v>
      </c>
      <c r="G31" s="63">
        <v>19</v>
      </c>
      <c r="H31" s="70">
        <v>21.5</v>
      </c>
      <c r="I31" s="100">
        <f t="shared" si="0"/>
        <v>408.5</v>
      </c>
    </row>
    <row r="32" spans="1:10" ht="15" customHeight="1" x14ac:dyDescent="0.25">
      <c r="B32" s="56">
        <v>411031</v>
      </c>
      <c r="C32" s="56" t="s">
        <v>49</v>
      </c>
      <c r="D32" s="57"/>
      <c r="E32" s="57"/>
      <c r="F32" s="57"/>
      <c r="G32" s="57"/>
      <c r="H32" s="58">
        <v>21.5</v>
      </c>
      <c r="I32" s="101">
        <f t="shared" si="0"/>
        <v>0</v>
      </c>
    </row>
    <row r="33" spans="2:9" ht="15" customHeight="1" x14ac:dyDescent="0.25">
      <c r="B33" s="59">
        <v>411032</v>
      </c>
      <c r="C33" s="59" t="s">
        <v>50</v>
      </c>
      <c r="D33" s="79">
        <v>22</v>
      </c>
      <c r="E33" s="79">
        <v>21</v>
      </c>
      <c r="F33" s="59">
        <v>24</v>
      </c>
      <c r="G33" s="59">
        <v>24</v>
      </c>
      <c r="H33" s="61">
        <v>21.5</v>
      </c>
      <c r="I33" s="102">
        <f t="shared" si="0"/>
        <v>516</v>
      </c>
    </row>
    <row r="34" spans="2:9" ht="15" customHeight="1" x14ac:dyDescent="0.25">
      <c r="B34" s="62">
        <v>411033</v>
      </c>
      <c r="C34" s="62" t="s">
        <v>51</v>
      </c>
      <c r="D34" s="73">
        <v>37</v>
      </c>
      <c r="E34" s="73">
        <v>36</v>
      </c>
      <c r="F34" s="62">
        <v>33</v>
      </c>
      <c r="G34" s="62">
        <v>33</v>
      </c>
      <c r="H34" s="64">
        <v>80</v>
      </c>
      <c r="I34" s="103">
        <f t="shared" si="0"/>
        <v>2640</v>
      </c>
    </row>
    <row r="35" spans="2:9" ht="15" customHeight="1" x14ac:dyDescent="0.25">
      <c r="B35" s="65">
        <v>411034</v>
      </c>
      <c r="C35" s="65" t="s">
        <v>52</v>
      </c>
      <c r="D35" s="80">
        <v>20</v>
      </c>
      <c r="E35" s="85">
        <v>20</v>
      </c>
      <c r="F35" s="65">
        <v>15</v>
      </c>
      <c r="G35" s="65">
        <v>15</v>
      </c>
      <c r="H35" s="66">
        <v>80</v>
      </c>
      <c r="I35" s="104">
        <f t="shared" ref="I35:I51" si="1">+F35*H35</f>
        <v>1200</v>
      </c>
    </row>
    <row r="36" spans="2:9" ht="15" customHeight="1" x14ac:dyDescent="0.25">
      <c r="B36" s="67">
        <v>411035</v>
      </c>
      <c r="C36" s="67" t="s">
        <v>53</v>
      </c>
      <c r="D36" s="68">
        <v>24</v>
      </c>
      <c r="E36" s="68">
        <v>20</v>
      </c>
      <c r="F36" s="60">
        <v>20</v>
      </c>
      <c r="G36" s="60">
        <v>20</v>
      </c>
      <c r="H36" s="69">
        <v>80</v>
      </c>
      <c r="I36" s="105">
        <f t="shared" si="1"/>
        <v>1600</v>
      </c>
    </row>
    <row r="37" spans="2:9" ht="15" customHeight="1" x14ac:dyDescent="0.25">
      <c r="B37" s="53">
        <v>411036</v>
      </c>
      <c r="C37" s="53" t="s">
        <v>321</v>
      </c>
      <c r="D37" s="81">
        <v>0</v>
      </c>
      <c r="E37" s="81">
        <v>7</v>
      </c>
      <c r="F37" s="63">
        <v>7</v>
      </c>
      <c r="G37" s="63">
        <v>7</v>
      </c>
      <c r="H37" s="70">
        <v>21.5</v>
      </c>
      <c r="I37" s="100">
        <f t="shared" si="1"/>
        <v>150.5</v>
      </c>
    </row>
    <row r="38" spans="2:9" ht="15" customHeight="1" x14ac:dyDescent="0.25">
      <c r="B38" s="56">
        <v>411037</v>
      </c>
      <c r="C38" s="56" t="s">
        <v>54</v>
      </c>
      <c r="D38" s="57">
        <v>22</v>
      </c>
      <c r="E38" s="57">
        <v>18</v>
      </c>
      <c r="F38" s="76">
        <v>18</v>
      </c>
      <c r="G38" s="76">
        <v>18</v>
      </c>
      <c r="H38" s="58">
        <v>80</v>
      </c>
      <c r="I38" s="101">
        <f t="shared" si="1"/>
        <v>1440</v>
      </c>
    </row>
    <row r="39" spans="2:9" ht="15" customHeight="1" x14ac:dyDescent="0.25">
      <c r="B39" s="59">
        <v>411038</v>
      </c>
      <c r="C39" s="59" t="s">
        <v>320</v>
      </c>
      <c r="D39" s="79"/>
      <c r="E39" s="79">
        <v>9</v>
      </c>
      <c r="F39" s="59">
        <v>12</v>
      </c>
      <c r="G39" s="59">
        <v>12</v>
      </c>
      <c r="H39" s="61">
        <v>80</v>
      </c>
      <c r="I39" s="102">
        <f t="shared" si="1"/>
        <v>960</v>
      </c>
    </row>
    <row r="40" spans="2:9" ht="15" customHeight="1" x14ac:dyDescent="0.25">
      <c r="B40" s="62">
        <v>411039</v>
      </c>
      <c r="C40" s="62" t="s">
        <v>55</v>
      </c>
      <c r="D40" s="89">
        <v>9</v>
      </c>
      <c r="E40" s="89">
        <v>10</v>
      </c>
      <c r="F40" s="90">
        <v>9</v>
      </c>
      <c r="G40" s="90">
        <v>9</v>
      </c>
      <c r="H40" s="91">
        <v>80</v>
      </c>
      <c r="I40" s="103">
        <f t="shared" si="1"/>
        <v>720</v>
      </c>
    </row>
    <row r="41" spans="2:9" ht="15" customHeight="1" x14ac:dyDescent="0.25">
      <c r="B41" s="65">
        <v>411040</v>
      </c>
      <c r="C41" s="65" t="s">
        <v>146</v>
      </c>
      <c r="D41" s="80">
        <v>12</v>
      </c>
      <c r="E41" s="85">
        <v>12</v>
      </c>
      <c r="F41" s="76">
        <v>12</v>
      </c>
      <c r="G41" s="76">
        <v>12</v>
      </c>
      <c r="H41" s="66">
        <v>21.5</v>
      </c>
      <c r="I41" s="104">
        <f t="shared" si="1"/>
        <v>258</v>
      </c>
    </row>
    <row r="42" spans="2:9" ht="15" customHeight="1" x14ac:dyDescent="0.25">
      <c r="B42" s="67">
        <v>411041</v>
      </c>
      <c r="C42" s="67" t="s">
        <v>56</v>
      </c>
      <c r="D42" s="68">
        <v>16</v>
      </c>
      <c r="E42" s="68">
        <v>16</v>
      </c>
      <c r="F42" s="60">
        <v>16</v>
      </c>
      <c r="G42" s="60">
        <v>16</v>
      </c>
      <c r="H42" s="69">
        <v>21.5</v>
      </c>
      <c r="I42" s="105">
        <f t="shared" si="1"/>
        <v>344</v>
      </c>
    </row>
    <row r="43" spans="2:9" ht="15" customHeight="1" x14ac:dyDescent="0.25">
      <c r="B43" s="53">
        <v>411042</v>
      </c>
      <c r="C43" s="53" t="s">
        <v>57</v>
      </c>
      <c r="D43" s="81">
        <v>24</v>
      </c>
      <c r="E43" s="81">
        <v>24</v>
      </c>
      <c r="F43" s="53">
        <v>23</v>
      </c>
      <c r="G43" s="53">
        <v>23</v>
      </c>
      <c r="H43" s="70">
        <v>21.5</v>
      </c>
      <c r="I43" s="100">
        <f t="shared" si="1"/>
        <v>494.5</v>
      </c>
    </row>
    <row r="44" spans="2:9" ht="15" customHeight="1" x14ac:dyDescent="0.25">
      <c r="B44" s="56">
        <v>411043</v>
      </c>
      <c r="C44" s="56" t="s">
        <v>58</v>
      </c>
      <c r="D44" s="57">
        <v>14</v>
      </c>
      <c r="E44" s="85">
        <v>14</v>
      </c>
      <c r="F44" s="76">
        <v>14</v>
      </c>
      <c r="G44" s="76">
        <v>14</v>
      </c>
      <c r="H44" s="58">
        <v>21.5</v>
      </c>
      <c r="I44" s="101">
        <f t="shared" si="1"/>
        <v>301</v>
      </c>
    </row>
    <row r="45" spans="2:9" ht="15" customHeight="1" x14ac:dyDescent="0.25">
      <c r="B45" s="59">
        <v>411044</v>
      </c>
      <c r="C45" s="59" t="s">
        <v>86</v>
      </c>
      <c r="D45" s="79">
        <v>72</v>
      </c>
      <c r="E45" s="79">
        <v>75</v>
      </c>
      <c r="F45" s="59">
        <v>75</v>
      </c>
      <c r="G45" s="59">
        <v>75</v>
      </c>
      <c r="H45" s="61">
        <v>2.7</v>
      </c>
      <c r="I45" s="106">
        <f t="shared" si="1"/>
        <v>202.5</v>
      </c>
    </row>
    <row r="46" spans="2:9" ht="15" customHeight="1" x14ac:dyDescent="0.25">
      <c r="B46" s="62">
        <v>411045</v>
      </c>
      <c r="C46" s="62" t="s">
        <v>59</v>
      </c>
      <c r="D46" s="73">
        <v>31</v>
      </c>
      <c r="E46" s="84">
        <v>31</v>
      </c>
      <c r="F46" s="63">
        <v>31</v>
      </c>
      <c r="G46" s="63">
        <v>31</v>
      </c>
      <c r="H46" s="64">
        <v>2.7</v>
      </c>
      <c r="I46" s="103">
        <f t="shared" si="1"/>
        <v>83.7</v>
      </c>
    </row>
    <row r="47" spans="2:9" ht="15" customHeight="1" x14ac:dyDescent="0.25">
      <c r="B47" s="65">
        <v>411046</v>
      </c>
      <c r="C47" s="65" t="s">
        <v>60</v>
      </c>
      <c r="D47" s="80">
        <v>11</v>
      </c>
      <c r="E47" s="85">
        <v>11</v>
      </c>
      <c r="F47" s="65">
        <v>15</v>
      </c>
      <c r="G47" s="65">
        <v>15</v>
      </c>
      <c r="H47" s="66">
        <v>21.5</v>
      </c>
      <c r="I47" s="107">
        <f t="shared" si="1"/>
        <v>322.5</v>
      </c>
    </row>
    <row r="48" spans="2:9" ht="15" customHeight="1" x14ac:dyDescent="0.25">
      <c r="B48" s="93">
        <v>411047</v>
      </c>
      <c r="C48" s="93" t="s">
        <v>224</v>
      </c>
      <c r="D48" s="68">
        <v>12</v>
      </c>
      <c r="E48" s="83">
        <v>9</v>
      </c>
      <c r="F48" s="60">
        <v>9</v>
      </c>
      <c r="G48" s="60">
        <v>9</v>
      </c>
      <c r="H48" s="69">
        <v>21.5</v>
      </c>
      <c r="I48" s="105">
        <f t="shared" si="1"/>
        <v>193.5</v>
      </c>
    </row>
    <row r="49" spans="1:9" ht="15" customHeight="1" x14ac:dyDescent="0.25">
      <c r="B49" s="72">
        <v>411049</v>
      </c>
      <c r="C49" s="72" t="s">
        <v>225</v>
      </c>
      <c r="D49" s="73">
        <v>13</v>
      </c>
      <c r="E49" s="73">
        <v>14</v>
      </c>
      <c r="F49" s="63">
        <v>14</v>
      </c>
      <c r="G49" s="63">
        <v>14</v>
      </c>
      <c r="H49" s="64">
        <v>80</v>
      </c>
      <c r="I49" s="97">
        <f t="shared" si="1"/>
        <v>1120</v>
      </c>
    </row>
    <row r="50" spans="1:9" ht="15" customHeight="1" x14ac:dyDescent="0.25">
      <c r="B50" s="77">
        <v>411050</v>
      </c>
      <c r="C50" s="77" t="s">
        <v>226</v>
      </c>
      <c r="D50" s="80">
        <v>14</v>
      </c>
      <c r="E50" s="80"/>
      <c r="F50" s="65"/>
      <c r="G50" s="65"/>
      <c r="H50" s="66">
        <v>0</v>
      </c>
      <c r="I50" s="98">
        <f t="shared" si="1"/>
        <v>0</v>
      </c>
    </row>
    <row r="51" spans="1:9" ht="15" customHeight="1" x14ac:dyDescent="0.25">
      <c r="B51" s="93">
        <v>411051</v>
      </c>
      <c r="C51" s="93" t="s">
        <v>258</v>
      </c>
      <c r="D51" s="68">
        <v>21</v>
      </c>
      <c r="E51" s="83">
        <v>21</v>
      </c>
      <c r="F51" s="60">
        <v>21</v>
      </c>
      <c r="G51" s="60">
        <v>21</v>
      </c>
      <c r="H51" s="69">
        <v>2.7</v>
      </c>
      <c r="I51" s="99">
        <f t="shared" si="1"/>
        <v>56.7</v>
      </c>
    </row>
    <row r="52" spans="1:9" s="41" customFormat="1" ht="31.5" customHeight="1" x14ac:dyDescent="0.25">
      <c r="A52" s="78"/>
      <c r="B52" s="86"/>
      <c r="C52" s="87"/>
      <c r="D52" s="88">
        <f>SUM(D2:D51)</f>
        <v>1408</v>
      </c>
      <c r="E52" s="88">
        <f>SUM(E2:E51)</f>
        <v>1402</v>
      </c>
      <c r="F52" s="88">
        <f>SUM(F2:F51)</f>
        <v>1369</v>
      </c>
      <c r="G52" s="88">
        <f>SUM(G2:G51)</f>
        <v>1369</v>
      </c>
      <c r="H52" s="78"/>
      <c r="I52" s="108">
        <f>SUM(I2:I51)</f>
        <v>74138.399999999994</v>
      </c>
    </row>
    <row r="53" spans="1:9" ht="15" customHeight="1" x14ac:dyDescent="0.25"/>
    <row r="54" spans="1:9" ht="15" customHeight="1" x14ac:dyDescent="0.25"/>
    <row r="55" spans="1:9" ht="15" customHeight="1" x14ac:dyDescent="0.25"/>
    <row r="56" spans="1:9" ht="15" customHeight="1" x14ac:dyDescent="0.25"/>
    <row r="57" spans="1:9" ht="15" customHeight="1" x14ac:dyDescent="0.25"/>
    <row r="58" spans="1:9" ht="15" customHeight="1" x14ac:dyDescent="0.25"/>
    <row r="59" spans="1:9" ht="15" customHeight="1" x14ac:dyDescent="0.25"/>
  </sheetData>
  <sortState xmlns:xlrd2="http://schemas.microsoft.com/office/spreadsheetml/2017/richdata2" ref="A3:J51">
    <sortCondition ref="B3:B51"/>
  </sortState>
  <pageMargins left="0.78740157480314965" right="0.78740157480314965" top="0.98425196850393704" bottom="0.98425196850393704" header="0.51181102362204722" footer="0.51181102362204722"/>
  <pageSetup paperSize="9" scale="76" orientation="portrait" r:id="rId1"/>
  <headerFooter alignWithMargins="0">
    <oddFooter>&amp;C_x000D_&amp;1#&amp;"Aptos"&amp;10&amp;KFF0000 C2 - Restreint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169"/>
  <sheetViews>
    <sheetView topLeftCell="B72" zoomScaleNormal="100" workbookViewId="0">
      <selection activeCell="D96" sqref="D96:D98"/>
    </sheetView>
  </sheetViews>
  <sheetFormatPr baseColWidth="10" defaultRowHeight="13.2" x14ac:dyDescent="0.25"/>
  <cols>
    <col min="1" max="1" width="7.5546875" customWidth="1"/>
    <col min="2" max="2" width="11.77734375" customWidth="1"/>
    <col min="3" max="3" width="36.6640625" customWidth="1"/>
    <col min="4" max="4" width="36.77734375" customWidth="1"/>
    <col min="5" max="5" width="11.88671875" hidden="1" customWidth="1"/>
    <col min="6" max="6" width="23.77734375" hidden="1" customWidth="1"/>
    <col min="7" max="7" width="33.21875" hidden="1" customWidth="1"/>
    <col min="8" max="10" width="9.21875" customWidth="1"/>
    <col min="11" max="11" width="8.77734375" customWidth="1"/>
    <col min="12" max="12" width="11.6640625" customWidth="1"/>
    <col min="13" max="13" width="12.21875" customWidth="1"/>
    <col min="14" max="14" width="8.77734375" customWidth="1"/>
    <col min="15" max="15" width="11.6640625" customWidth="1"/>
    <col min="16" max="16" width="10.77734375" customWidth="1"/>
    <col min="17" max="17" width="8.77734375" customWidth="1"/>
    <col min="18" max="18" width="11.6640625" bestFit="1" customWidth="1"/>
  </cols>
  <sheetData>
    <row r="2" spans="2:18" ht="42" customHeight="1" x14ac:dyDescent="0.25">
      <c r="B2" s="1" t="s">
        <v>13</v>
      </c>
      <c r="C2" s="5" t="s">
        <v>61</v>
      </c>
      <c r="D2" s="5" t="s">
        <v>62</v>
      </c>
      <c r="E2" s="5"/>
      <c r="F2" s="20" t="s">
        <v>95</v>
      </c>
      <c r="G2" s="5" t="s">
        <v>139</v>
      </c>
      <c r="H2" s="32" t="s">
        <v>313</v>
      </c>
      <c r="I2" s="32" t="s">
        <v>319</v>
      </c>
      <c r="J2" s="32" t="s">
        <v>324</v>
      </c>
      <c r="K2" s="5" t="s">
        <v>14</v>
      </c>
      <c r="L2" s="5" t="s">
        <v>326</v>
      </c>
      <c r="M2" s="1" t="s">
        <v>15</v>
      </c>
      <c r="N2" s="1" t="s">
        <v>16</v>
      </c>
      <c r="O2" s="1" t="s">
        <v>21</v>
      </c>
      <c r="P2" s="1" t="s">
        <v>17</v>
      </c>
      <c r="Q2" s="1" t="s">
        <v>16</v>
      </c>
      <c r="R2" s="1" t="s">
        <v>21</v>
      </c>
    </row>
    <row r="3" spans="2:18" ht="15" customHeight="1" x14ac:dyDescent="0.25">
      <c r="B3" s="256">
        <v>411001</v>
      </c>
      <c r="C3" s="256" t="s">
        <v>23</v>
      </c>
      <c r="D3" s="14"/>
      <c r="E3" s="7" t="s">
        <v>96</v>
      </c>
      <c r="F3" s="11" t="s">
        <v>235</v>
      </c>
      <c r="G3" s="227" t="s">
        <v>234</v>
      </c>
      <c r="H3" s="38"/>
      <c r="I3" s="38"/>
      <c r="J3" s="187">
        <v>73</v>
      </c>
      <c r="K3" s="207">
        <v>80</v>
      </c>
      <c r="L3" s="271">
        <f>+J3*K3</f>
        <v>5840</v>
      </c>
      <c r="M3" s="204"/>
      <c r="N3" s="235"/>
      <c r="O3" s="204">
        <f>L3-M3</f>
        <v>5840</v>
      </c>
      <c r="P3" s="204"/>
      <c r="Q3" s="235"/>
      <c r="R3" s="204">
        <f>L3-M3-P3</f>
        <v>5840</v>
      </c>
    </row>
    <row r="4" spans="2:18" ht="15" customHeight="1" x14ac:dyDescent="0.25">
      <c r="B4" s="257"/>
      <c r="C4" s="257"/>
      <c r="D4" s="15" t="s">
        <v>63</v>
      </c>
      <c r="E4" s="7" t="s">
        <v>97</v>
      </c>
      <c r="F4" s="11" t="s">
        <v>235</v>
      </c>
      <c r="G4" s="228"/>
      <c r="H4" s="39">
        <v>77</v>
      </c>
      <c r="I4" s="39">
        <v>74</v>
      </c>
      <c r="J4" s="188"/>
      <c r="K4" s="266"/>
      <c r="L4" s="283"/>
      <c r="M4" s="205"/>
      <c r="N4" s="236"/>
      <c r="O4" s="205"/>
      <c r="P4" s="205"/>
      <c r="Q4" s="236"/>
      <c r="R4" s="205"/>
    </row>
    <row r="5" spans="2:18" ht="15" customHeight="1" x14ac:dyDescent="0.25">
      <c r="B5" s="258"/>
      <c r="C5" s="258"/>
      <c r="D5" s="16"/>
      <c r="E5" s="7" t="s">
        <v>98</v>
      </c>
      <c r="F5" s="18" t="s">
        <v>101</v>
      </c>
      <c r="G5" s="4" t="s">
        <v>102</v>
      </c>
      <c r="H5" s="40"/>
      <c r="I5" s="40"/>
      <c r="J5" s="189"/>
      <c r="K5" s="267"/>
      <c r="L5" s="284"/>
      <c r="M5" s="206"/>
      <c r="N5" s="237"/>
      <c r="O5" s="206"/>
      <c r="P5" s="206"/>
      <c r="Q5" s="237"/>
      <c r="R5" s="206"/>
    </row>
    <row r="6" spans="2:18" ht="15" customHeight="1" x14ac:dyDescent="0.25">
      <c r="B6" s="253">
        <v>411002</v>
      </c>
      <c r="C6" s="253" t="s">
        <v>24</v>
      </c>
      <c r="D6" s="253" t="s">
        <v>65</v>
      </c>
      <c r="E6" s="17" t="s">
        <v>96</v>
      </c>
      <c r="F6" s="19" t="s">
        <v>103</v>
      </c>
      <c r="G6" s="6" t="s">
        <v>168</v>
      </c>
      <c r="H6" s="198">
        <v>63</v>
      </c>
      <c r="I6" s="195">
        <v>62</v>
      </c>
      <c r="J6" s="190">
        <v>62</v>
      </c>
      <c r="K6" s="210">
        <v>80</v>
      </c>
      <c r="L6" s="274">
        <f>+J6*K6</f>
        <v>4960</v>
      </c>
      <c r="M6" s="268"/>
      <c r="N6" s="238"/>
      <c r="O6" s="204">
        <f>L6-M6</f>
        <v>4960</v>
      </c>
      <c r="P6" s="268"/>
      <c r="Q6" s="238"/>
      <c r="R6" s="204">
        <f>L6-M6-P6</f>
        <v>4960</v>
      </c>
    </row>
    <row r="7" spans="2:18" ht="15" customHeight="1" x14ac:dyDescent="0.25">
      <c r="B7" s="254"/>
      <c r="C7" s="254"/>
      <c r="D7" s="259"/>
      <c r="E7" s="17" t="s">
        <v>97</v>
      </c>
      <c r="F7" s="19" t="s">
        <v>103</v>
      </c>
      <c r="G7" s="6" t="s">
        <v>168</v>
      </c>
      <c r="H7" s="193"/>
      <c r="I7" s="196"/>
      <c r="J7" s="191"/>
      <c r="K7" s="211"/>
      <c r="L7" s="275"/>
      <c r="M7" s="269"/>
      <c r="N7" s="239"/>
      <c r="O7" s="205"/>
      <c r="P7" s="269"/>
      <c r="Q7" s="239"/>
      <c r="R7" s="205"/>
    </row>
    <row r="8" spans="2:18" ht="15" customHeight="1" x14ac:dyDescent="0.25">
      <c r="B8" s="255"/>
      <c r="C8" s="255"/>
      <c r="D8" s="251"/>
      <c r="E8" s="17" t="s">
        <v>98</v>
      </c>
      <c r="F8" s="19" t="s">
        <v>236</v>
      </c>
      <c r="G8" s="6" t="s">
        <v>237</v>
      </c>
      <c r="H8" s="194"/>
      <c r="I8" s="197"/>
      <c r="J8" s="192"/>
      <c r="K8" s="212"/>
      <c r="L8" s="276"/>
      <c r="M8" s="270"/>
      <c r="N8" s="240"/>
      <c r="O8" s="206"/>
      <c r="P8" s="270"/>
      <c r="Q8" s="240"/>
      <c r="R8" s="206"/>
    </row>
    <row r="9" spans="2:18" ht="15" customHeight="1" x14ac:dyDescent="0.25">
      <c r="B9" s="256">
        <v>411003</v>
      </c>
      <c r="C9" s="256" t="s">
        <v>25</v>
      </c>
      <c r="D9" s="14"/>
      <c r="E9" s="7" t="s">
        <v>96</v>
      </c>
      <c r="F9" s="11" t="s">
        <v>246</v>
      </c>
      <c r="G9" s="37" t="s">
        <v>247</v>
      </c>
      <c r="H9" s="187">
        <v>49</v>
      </c>
      <c r="I9" s="187">
        <v>47</v>
      </c>
      <c r="J9" s="190">
        <v>47</v>
      </c>
      <c r="K9" s="207">
        <v>80</v>
      </c>
      <c r="L9" s="271">
        <f>+J9*K9</f>
        <v>3760</v>
      </c>
      <c r="M9" s="204"/>
      <c r="N9" s="235"/>
      <c r="O9" s="204">
        <f>L9-M9</f>
        <v>3760</v>
      </c>
      <c r="P9" s="204"/>
      <c r="Q9" s="235"/>
      <c r="R9" s="204">
        <f>L9-M9-P9</f>
        <v>3760</v>
      </c>
    </row>
    <row r="10" spans="2:18" ht="15" customHeight="1" x14ac:dyDescent="0.25">
      <c r="B10" s="257"/>
      <c r="C10" s="257"/>
      <c r="D10" s="15" t="s">
        <v>64</v>
      </c>
      <c r="E10" s="7" t="s">
        <v>97</v>
      </c>
      <c r="F10" s="11" t="s">
        <v>148</v>
      </c>
      <c r="G10" s="37" t="s">
        <v>248</v>
      </c>
      <c r="H10" s="188"/>
      <c r="I10" s="188"/>
      <c r="J10" s="191"/>
      <c r="K10" s="208"/>
      <c r="L10" s="272"/>
      <c r="M10" s="205"/>
      <c r="N10" s="236"/>
      <c r="O10" s="205"/>
      <c r="P10" s="205"/>
      <c r="Q10" s="236"/>
      <c r="R10" s="205"/>
    </row>
    <row r="11" spans="2:18" ht="15" customHeight="1" x14ac:dyDescent="0.25">
      <c r="B11" s="258"/>
      <c r="C11" s="258"/>
      <c r="D11" s="16"/>
      <c r="E11" s="7" t="s">
        <v>98</v>
      </c>
      <c r="F11" s="18" t="s">
        <v>249</v>
      </c>
      <c r="G11" s="36" t="s">
        <v>250</v>
      </c>
      <c r="H11" s="189"/>
      <c r="I11" s="189"/>
      <c r="J11" s="192"/>
      <c r="K11" s="209"/>
      <c r="L11" s="273"/>
      <c r="M11" s="206"/>
      <c r="N11" s="237"/>
      <c r="O11" s="206"/>
      <c r="P11" s="206"/>
      <c r="Q11" s="237"/>
      <c r="R11" s="206"/>
    </row>
    <row r="12" spans="2:18" ht="15" customHeight="1" x14ac:dyDescent="0.25">
      <c r="B12" s="253">
        <v>411004</v>
      </c>
      <c r="C12" s="253" t="s">
        <v>26</v>
      </c>
      <c r="D12" s="253" t="s">
        <v>143</v>
      </c>
      <c r="E12" s="17" t="s">
        <v>96</v>
      </c>
      <c r="F12" s="19" t="s">
        <v>106</v>
      </c>
      <c r="G12" s="6" t="s">
        <v>108</v>
      </c>
      <c r="H12" s="198">
        <v>50</v>
      </c>
      <c r="I12" s="198">
        <v>48</v>
      </c>
      <c r="J12" s="198">
        <v>47</v>
      </c>
      <c r="K12" s="210">
        <v>80</v>
      </c>
      <c r="L12" s="274">
        <f>+J12*K12</f>
        <v>3760</v>
      </c>
      <c r="M12" s="268"/>
      <c r="N12" s="238"/>
      <c r="O12" s="204">
        <f>L12-M12</f>
        <v>3760</v>
      </c>
      <c r="P12" s="268"/>
      <c r="Q12" s="238"/>
      <c r="R12" s="204">
        <f>L12-M12-P12</f>
        <v>3760</v>
      </c>
    </row>
    <row r="13" spans="2:18" ht="15" customHeight="1" x14ac:dyDescent="0.25">
      <c r="B13" s="254"/>
      <c r="C13" s="254"/>
      <c r="D13" s="259"/>
      <c r="E13" s="17" t="s">
        <v>97</v>
      </c>
      <c r="F13" s="19" t="s">
        <v>106</v>
      </c>
      <c r="G13" s="6" t="s">
        <v>108</v>
      </c>
      <c r="H13" s="193"/>
      <c r="I13" s="193"/>
      <c r="J13" s="193"/>
      <c r="K13" s="211"/>
      <c r="L13" s="275"/>
      <c r="M13" s="269"/>
      <c r="N13" s="239"/>
      <c r="O13" s="205"/>
      <c r="P13" s="269"/>
      <c r="Q13" s="239"/>
      <c r="R13" s="205"/>
    </row>
    <row r="14" spans="2:18" ht="15" customHeight="1" x14ac:dyDescent="0.25">
      <c r="B14" s="255"/>
      <c r="C14" s="255"/>
      <c r="D14" s="251"/>
      <c r="E14" s="17" t="s">
        <v>98</v>
      </c>
      <c r="F14" s="19" t="s">
        <v>107</v>
      </c>
      <c r="G14" s="6" t="s">
        <v>109</v>
      </c>
      <c r="H14" s="194"/>
      <c r="I14" s="194"/>
      <c r="J14" s="194"/>
      <c r="K14" s="212"/>
      <c r="L14" s="276"/>
      <c r="M14" s="270"/>
      <c r="N14" s="240"/>
      <c r="O14" s="206"/>
      <c r="P14" s="270"/>
      <c r="Q14" s="240"/>
      <c r="R14" s="206"/>
    </row>
    <row r="15" spans="2:18" ht="15" customHeight="1" x14ac:dyDescent="0.25">
      <c r="B15" s="256">
        <v>411005</v>
      </c>
      <c r="C15" s="256" t="s">
        <v>27</v>
      </c>
      <c r="D15" s="256" t="s">
        <v>66</v>
      </c>
      <c r="E15" s="7" t="s">
        <v>96</v>
      </c>
      <c r="F15" s="11" t="s">
        <v>238</v>
      </c>
      <c r="G15" s="4" t="s">
        <v>239</v>
      </c>
      <c r="H15" s="38"/>
      <c r="I15" s="38"/>
      <c r="J15" s="190">
        <v>67</v>
      </c>
      <c r="K15" s="207">
        <v>80</v>
      </c>
      <c r="L15" s="271">
        <f>+J15*K15</f>
        <v>5360</v>
      </c>
      <c r="M15" s="204"/>
      <c r="N15" s="235"/>
      <c r="O15" s="204">
        <f>L15-M15</f>
        <v>5360</v>
      </c>
      <c r="P15" s="204"/>
      <c r="Q15" s="235"/>
      <c r="R15" s="204">
        <f>L15-M15-P15</f>
        <v>5360</v>
      </c>
    </row>
    <row r="16" spans="2:18" ht="15" customHeight="1" x14ac:dyDescent="0.25">
      <c r="B16" s="257"/>
      <c r="C16" s="257"/>
      <c r="D16" s="259"/>
      <c r="E16" s="7" t="s">
        <v>97</v>
      </c>
      <c r="F16" s="18" t="s">
        <v>104</v>
      </c>
      <c r="G16" s="4" t="s">
        <v>105</v>
      </c>
      <c r="H16" s="39">
        <v>69</v>
      </c>
      <c r="I16" s="39">
        <v>67</v>
      </c>
      <c r="J16" s="191"/>
      <c r="K16" s="208"/>
      <c r="L16" s="272"/>
      <c r="M16" s="205"/>
      <c r="N16" s="236"/>
      <c r="O16" s="205"/>
      <c r="P16" s="205"/>
      <c r="Q16" s="236"/>
      <c r="R16" s="205"/>
    </row>
    <row r="17" spans="2:18" ht="15" customHeight="1" x14ac:dyDescent="0.25">
      <c r="B17" s="258"/>
      <c r="C17" s="258"/>
      <c r="D17" s="251"/>
      <c r="E17" s="7" t="s">
        <v>98</v>
      </c>
      <c r="F17" s="18" t="s">
        <v>240</v>
      </c>
      <c r="G17" s="4" t="s">
        <v>309</v>
      </c>
      <c r="H17" s="40"/>
      <c r="I17" s="40"/>
      <c r="J17" s="192"/>
      <c r="K17" s="209"/>
      <c r="L17" s="273"/>
      <c r="M17" s="206"/>
      <c r="N17" s="237"/>
      <c r="O17" s="206"/>
      <c r="P17" s="206"/>
      <c r="Q17" s="237"/>
      <c r="R17" s="206"/>
    </row>
    <row r="18" spans="2:18" ht="15" customHeight="1" x14ac:dyDescent="0.25">
      <c r="B18" s="253">
        <v>411006</v>
      </c>
      <c r="C18" s="253" t="s">
        <v>28</v>
      </c>
      <c r="D18" s="253" t="s">
        <v>67</v>
      </c>
      <c r="E18" s="17" t="s">
        <v>96</v>
      </c>
      <c r="F18" s="12" t="s">
        <v>171</v>
      </c>
      <c r="G18" s="6" t="s">
        <v>232</v>
      </c>
      <c r="H18" s="198">
        <v>24</v>
      </c>
      <c r="I18" s="195">
        <v>24</v>
      </c>
      <c r="J18" s="198">
        <v>22</v>
      </c>
      <c r="K18" s="210">
        <v>80</v>
      </c>
      <c r="L18" s="274">
        <f>+J18*K18</f>
        <v>1760</v>
      </c>
      <c r="M18" s="268"/>
      <c r="N18" s="238"/>
      <c r="O18" s="204">
        <f>L18-M18</f>
        <v>1760</v>
      </c>
      <c r="P18" s="268"/>
      <c r="Q18" s="238"/>
      <c r="R18" s="204">
        <f>L18-M18-P18</f>
        <v>1760</v>
      </c>
    </row>
    <row r="19" spans="2:18" ht="15" customHeight="1" x14ac:dyDescent="0.25">
      <c r="B19" s="254"/>
      <c r="C19" s="254"/>
      <c r="D19" s="259"/>
      <c r="E19" s="17" t="s">
        <v>97</v>
      </c>
      <c r="F19" s="12" t="s">
        <v>157</v>
      </c>
      <c r="G19" s="6" t="s">
        <v>191</v>
      </c>
      <c r="H19" s="193"/>
      <c r="I19" s="196"/>
      <c r="J19" s="193"/>
      <c r="K19" s="211"/>
      <c r="L19" s="275"/>
      <c r="M19" s="269"/>
      <c r="N19" s="239"/>
      <c r="O19" s="205"/>
      <c r="P19" s="269"/>
      <c r="Q19" s="239"/>
      <c r="R19" s="205"/>
    </row>
    <row r="20" spans="2:18" ht="15" customHeight="1" x14ac:dyDescent="0.25">
      <c r="B20" s="255"/>
      <c r="C20" s="255"/>
      <c r="D20" s="251"/>
      <c r="E20" s="17" t="s">
        <v>98</v>
      </c>
      <c r="F20" s="19" t="s">
        <v>244</v>
      </c>
      <c r="G20" s="6" t="s">
        <v>245</v>
      </c>
      <c r="H20" s="194"/>
      <c r="I20" s="197"/>
      <c r="J20" s="194"/>
      <c r="K20" s="212"/>
      <c r="L20" s="276"/>
      <c r="M20" s="270"/>
      <c r="N20" s="240"/>
      <c r="O20" s="206"/>
      <c r="P20" s="270"/>
      <c r="Q20" s="240"/>
      <c r="R20" s="206"/>
    </row>
    <row r="21" spans="2:18" ht="15" customHeight="1" x14ac:dyDescent="0.25">
      <c r="B21" s="256">
        <v>411007</v>
      </c>
      <c r="C21" s="256" t="s">
        <v>264</v>
      </c>
      <c r="D21" s="256" t="s">
        <v>68</v>
      </c>
      <c r="E21" s="7" t="s">
        <v>96</v>
      </c>
      <c r="F21" s="11" t="s">
        <v>149</v>
      </c>
      <c r="G21" s="4" t="s">
        <v>0</v>
      </c>
      <c r="H21" s="38"/>
      <c r="I21" s="38"/>
      <c r="J21" s="187">
        <v>38</v>
      </c>
      <c r="K21" s="207">
        <v>80</v>
      </c>
      <c r="L21" s="271">
        <f>+J21*K21</f>
        <v>3040</v>
      </c>
      <c r="M21" s="204"/>
      <c r="N21" s="235"/>
      <c r="O21" s="204">
        <f>L21-M21</f>
        <v>3040</v>
      </c>
      <c r="P21" s="204"/>
      <c r="Q21" s="235"/>
      <c r="R21" s="204">
        <f>L21-M21-P21</f>
        <v>3040</v>
      </c>
    </row>
    <row r="22" spans="2:18" ht="15" customHeight="1" x14ac:dyDescent="0.25">
      <c r="B22" s="257"/>
      <c r="C22" s="257"/>
      <c r="D22" s="259"/>
      <c r="E22" s="7" t="s">
        <v>97</v>
      </c>
      <c r="F22" s="11" t="s">
        <v>172</v>
      </c>
      <c r="G22" s="4" t="s">
        <v>173</v>
      </c>
      <c r="H22" s="39">
        <v>42</v>
      </c>
      <c r="I22" s="39">
        <v>40</v>
      </c>
      <c r="J22" s="188"/>
      <c r="K22" s="208"/>
      <c r="L22" s="272"/>
      <c r="M22" s="205"/>
      <c r="N22" s="236"/>
      <c r="O22" s="205"/>
      <c r="P22" s="205"/>
      <c r="Q22" s="236"/>
      <c r="R22" s="205"/>
    </row>
    <row r="23" spans="2:18" ht="15" customHeight="1" x14ac:dyDescent="0.25">
      <c r="B23" s="258"/>
      <c r="C23" s="258"/>
      <c r="D23" s="251"/>
      <c r="E23" s="7" t="s">
        <v>98</v>
      </c>
      <c r="F23" s="18" t="s">
        <v>276</v>
      </c>
      <c r="G23" s="4" t="s">
        <v>174</v>
      </c>
      <c r="H23" s="40"/>
      <c r="I23" s="40"/>
      <c r="J23" s="189"/>
      <c r="K23" s="209"/>
      <c r="L23" s="273"/>
      <c r="M23" s="206"/>
      <c r="N23" s="237"/>
      <c r="O23" s="206"/>
      <c r="P23" s="206"/>
      <c r="Q23" s="237"/>
      <c r="R23" s="206"/>
    </row>
    <row r="24" spans="2:18" ht="15" customHeight="1" x14ac:dyDescent="0.25">
      <c r="B24" s="252">
        <v>411008</v>
      </c>
      <c r="C24" s="253" t="s">
        <v>29</v>
      </c>
      <c r="D24" s="253" t="s">
        <v>71</v>
      </c>
      <c r="E24" s="17" t="s">
        <v>96</v>
      </c>
      <c r="F24" s="12" t="s">
        <v>231</v>
      </c>
      <c r="G24" s="6" t="s">
        <v>241</v>
      </c>
      <c r="H24" s="198">
        <v>38</v>
      </c>
      <c r="I24" s="198">
        <v>41</v>
      </c>
      <c r="J24" s="198">
        <v>36</v>
      </c>
      <c r="K24" s="210">
        <v>80</v>
      </c>
      <c r="L24" s="277">
        <f>+J24*K24</f>
        <v>2880</v>
      </c>
      <c r="M24" s="268"/>
      <c r="N24" s="238"/>
      <c r="O24" s="204">
        <f>L24-M24</f>
        <v>2880</v>
      </c>
      <c r="P24" s="268"/>
      <c r="Q24" s="238"/>
      <c r="R24" s="204">
        <f>L24-M24-P24</f>
        <v>2880</v>
      </c>
    </row>
    <row r="25" spans="2:18" ht="15" customHeight="1" x14ac:dyDescent="0.25">
      <c r="B25" s="248"/>
      <c r="C25" s="254"/>
      <c r="D25" s="259"/>
      <c r="E25" s="17" t="s">
        <v>97</v>
      </c>
      <c r="F25" s="19" t="s">
        <v>242</v>
      </c>
      <c r="G25" s="6" t="s">
        <v>243</v>
      </c>
      <c r="H25" s="193"/>
      <c r="I25" s="193"/>
      <c r="J25" s="193"/>
      <c r="K25" s="211"/>
      <c r="L25" s="278"/>
      <c r="M25" s="269"/>
      <c r="N25" s="239"/>
      <c r="O25" s="205"/>
      <c r="P25" s="269"/>
      <c r="Q25" s="239"/>
      <c r="R25" s="205"/>
    </row>
    <row r="26" spans="2:18" ht="15" customHeight="1" x14ac:dyDescent="0.25">
      <c r="B26" s="249"/>
      <c r="C26" s="255"/>
      <c r="D26" s="251"/>
      <c r="E26" s="17" t="s">
        <v>98</v>
      </c>
      <c r="F26" s="19" t="s">
        <v>169</v>
      </c>
      <c r="G26" s="6" t="s">
        <v>170</v>
      </c>
      <c r="H26" s="194"/>
      <c r="I26" s="194"/>
      <c r="J26" s="194"/>
      <c r="K26" s="212"/>
      <c r="L26" s="279"/>
      <c r="M26" s="270"/>
      <c r="N26" s="240"/>
      <c r="O26" s="206"/>
      <c r="P26" s="270"/>
      <c r="Q26" s="240"/>
      <c r="R26" s="206"/>
    </row>
    <row r="27" spans="2:18" ht="15" customHeight="1" x14ac:dyDescent="0.25">
      <c r="B27" s="244">
        <v>411009</v>
      </c>
      <c r="C27" s="256" t="s">
        <v>69</v>
      </c>
      <c r="D27" s="256" t="s">
        <v>82</v>
      </c>
      <c r="E27" s="7" t="s">
        <v>96</v>
      </c>
      <c r="F27" s="11" t="s">
        <v>179</v>
      </c>
      <c r="G27" s="227" t="s">
        <v>180</v>
      </c>
      <c r="H27" s="38"/>
      <c r="I27" s="195">
        <v>46</v>
      </c>
      <c r="J27" s="190">
        <v>45</v>
      </c>
      <c r="K27" s="207">
        <v>80</v>
      </c>
      <c r="L27" s="280">
        <f>+J27*K27</f>
        <v>3600</v>
      </c>
      <c r="M27" s="204"/>
      <c r="N27" s="235"/>
      <c r="O27" s="204">
        <f>L27-M27</f>
        <v>3600</v>
      </c>
      <c r="P27" s="204"/>
      <c r="Q27" s="235"/>
      <c r="R27" s="204">
        <f>L27-M27-P27</f>
        <v>3600</v>
      </c>
    </row>
    <row r="28" spans="2:18" ht="15" customHeight="1" x14ac:dyDescent="0.25">
      <c r="B28" s="245"/>
      <c r="C28" s="257"/>
      <c r="D28" s="259"/>
      <c r="E28" s="7" t="s">
        <v>97</v>
      </c>
      <c r="F28" s="11" t="s">
        <v>179</v>
      </c>
      <c r="G28" s="262"/>
      <c r="H28" s="39">
        <v>47</v>
      </c>
      <c r="I28" s="196"/>
      <c r="J28" s="191"/>
      <c r="K28" s="208"/>
      <c r="L28" s="281"/>
      <c r="M28" s="205"/>
      <c r="N28" s="236"/>
      <c r="O28" s="205"/>
      <c r="P28" s="205"/>
      <c r="Q28" s="236"/>
      <c r="R28" s="205"/>
    </row>
    <row r="29" spans="2:18" ht="15" customHeight="1" x14ac:dyDescent="0.25">
      <c r="B29" s="246"/>
      <c r="C29" s="258"/>
      <c r="D29" s="251"/>
      <c r="E29" s="7" t="s">
        <v>98</v>
      </c>
      <c r="F29" s="18" t="s">
        <v>181</v>
      </c>
      <c r="G29" s="4" t="s">
        <v>182</v>
      </c>
      <c r="H29" s="40"/>
      <c r="I29" s="197"/>
      <c r="J29" s="192"/>
      <c r="K29" s="209"/>
      <c r="L29" s="282"/>
      <c r="M29" s="206"/>
      <c r="N29" s="237"/>
      <c r="O29" s="206"/>
      <c r="P29" s="206"/>
      <c r="Q29" s="237"/>
      <c r="R29" s="206"/>
    </row>
    <row r="30" spans="2:18" ht="15" customHeight="1" x14ac:dyDescent="0.25">
      <c r="B30" s="253">
        <v>411010</v>
      </c>
      <c r="C30" s="253" t="s">
        <v>30</v>
      </c>
      <c r="D30" s="253" t="s">
        <v>72</v>
      </c>
      <c r="E30" s="17" t="s">
        <v>96</v>
      </c>
      <c r="F30" s="12" t="s">
        <v>175</v>
      </c>
      <c r="G30" s="6" t="s">
        <v>176</v>
      </c>
      <c r="H30" s="198">
        <v>24</v>
      </c>
      <c r="I30" s="198">
        <v>23</v>
      </c>
      <c r="J30" s="198">
        <v>23</v>
      </c>
      <c r="K30" s="210">
        <v>80</v>
      </c>
      <c r="L30" s="268">
        <f>+J30*K30</f>
        <v>1840</v>
      </c>
      <c r="M30" s="268"/>
      <c r="N30" s="238"/>
      <c r="O30" s="204">
        <f>L30-M30</f>
        <v>1840</v>
      </c>
      <c r="P30" s="268"/>
      <c r="Q30" s="238"/>
      <c r="R30" s="204">
        <f>L30-M30-P30</f>
        <v>1840</v>
      </c>
    </row>
    <row r="31" spans="2:18" ht="15" customHeight="1" x14ac:dyDescent="0.25">
      <c r="B31" s="254"/>
      <c r="C31" s="254"/>
      <c r="D31" s="259"/>
      <c r="E31" s="17" t="s">
        <v>97</v>
      </c>
      <c r="F31" s="19" t="s">
        <v>110</v>
      </c>
      <c r="G31" s="6" t="s">
        <v>111</v>
      </c>
      <c r="H31" s="199"/>
      <c r="I31" s="199"/>
      <c r="J31" s="199"/>
      <c r="K31" s="211"/>
      <c r="L31" s="269"/>
      <c r="M31" s="269"/>
      <c r="N31" s="239"/>
      <c r="O31" s="205"/>
      <c r="P31" s="269"/>
      <c r="Q31" s="239"/>
      <c r="R31" s="205"/>
    </row>
    <row r="32" spans="2:18" ht="15" customHeight="1" x14ac:dyDescent="0.25">
      <c r="B32" s="255"/>
      <c r="C32" s="255"/>
      <c r="D32" s="251"/>
      <c r="E32" s="17" t="s">
        <v>98</v>
      </c>
      <c r="F32" s="12" t="s">
        <v>177</v>
      </c>
      <c r="G32" s="6" t="s">
        <v>178</v>
      </c>
      <c r="H32" s="200"/>
      <c r="I32" s="200"/>
      <c r="J32" s="200"/>
      <c r="K32" s="212"/>
      <c r="L32" s="270"/>
      <c r="M32" s="270"/>
      <c r="N32" s="240"/>
      <c r="O32" s="206"/>
      <c r="P32" s="270"/>
      <c r="Q32" s="240"/>
      <c r="R32" s="206"/>
    </row>
    <row r="33" spans="2:18" ht="15" customHeight="1" x14ac:dyDescent="0.25">
      <c r="B33" s="256">
        <v>411011</v>
      </c>
      <c r="C33" s="256" t="s">
        <v>100</v>
      </c>
      <c r="D33" s="256" t="s">
        <v>70</v>
      </c>
      <c r="E33" s="7" t="s">
        <v>96</v>
      </c>
      <c r="F33" s="11" t="s">
        <v>127</v>
      </c>
      <c r="G33" s="4" t="s">
        <v>128</v>
      </c>
      <c r="H33" s="187">
        <v>24</v>
      </c>
      <c r="I33" s="187">
        <v>25</v>
      </c>
      <c r="J33" s="187">
        <v>24</v>
      </c>
      <c r="K33" s="207">
        <v>80</v>
      </c>
      <c r="L33" s="204">
        <f>+J33*K33</f>
        <v>1920</v>
      </c>
      <c r="M33" s="204"/>
      <c r="N33" s="235"/>
      <c r="O33" s="204">
        <f>L33-M33</f>
        <v>1920</v>
      </c>
      <c r="P33" s="204"/>
      <c r="Q33" s="235"/>
      <c r="R33" s="204">
        <f>L33-M33-P33</f>
        <v>1920</v>
      </c>
    </row>
    <row r="34" spans="2:18" ht="15" customHeight="1" x14ac:dyDescent="0.25">
      <c r="B34" s="259"/>
      <c r="C34" s="259"/>
      <c r="D34" s="259"/>
      <c r="E34" s="7" t="s">
        <v>97</v>
      </c>
      <c r="F34" s="18" t="s">
        <v>277</v>
      </c>
      <c r="G34" s="4" t="s">
        <v>278</v>
      </c>
      <c r="H34" s="188"/>
      <c r="I34" s="188"/>
      <c r="J34" s="188"/>
      <c r="K34" s="208"/>
      <c r="L34" s="205"/>
      <c r="M34" s="205"/>
      <c r="N34" s="236"/>
      <c r="O34" s="205"/>
      <c r="P34" s="205"/>
      <c r="Q34" s="236"/>
      <c r="R34" s="205"/>
    </row>
    <row r="35" spans="2:18" ht="15" customHeight="1" x14ac:dyDescent="0.25">
      <c r="B35" s="251"/>
      <c r="C35" s="251"/>
      <c r="D35" s="251"/>
      <c r="E35" s="7" t="s">
        <v>98</v>
      </c>
      <c r="F35" s="18" t="s">
        <v>183</v>
      </c>
      <c r="G35" s="4" t="s">
        <v>184</v>
      </c>
      <c r="H35" s="189"/>
      <c r="I35" s="189"/>
      <c r="J35" s="189"/>
      <c r="K35" s="209"/>
      <c r="L35" s="206"/>
      <c r="M35" s="206"/>
      <c r="N35" s="237"/>
      <c r="O35" s="206"/>
      <c r="P35" s="206"/>
      <c r="Q35" s="237"/>
      <c r="R35" s="206"/>
    </row>
    <row r="36" spans="2:18" ht="15" customHeight="1" x14ac:dyDescent="0.25">
      <c r="B36" s="252">
        <v>411012</v>
      </c>
      <c r="C36" s="253" t="s">
        <v>31</v>
      </c>
      <c r="D36" s="253" t="s">
        <v>83</v>
      </c>
      <c r="E36" s="17" t="s">
        <v>96</v>
      </c>
      <c r="F36" s="12" t="s">
        <v>185</v>
      </c>
      <c r="G36" s="6" t="s">
        <v>186</v>
      </c>
      <c r="H36" s="198">
        <v>14</v>
      </c>
      <c r="I36" s="198">
        <v>44</v>
      </c>
      <c r="J36" s="198">
        <v>46</v>
      </c>
      <c r="K36" s="210">
        <v>21.5</v>
      </c>
      <c r="L36" s="268">
        <f>+J36*K36</f>
        <v>989</v>
      </c>
      <c r="M36" s="268"/>
      <c r="N36" s="238"/>
      <c r="O36" s="204">
        <f>L36-M36</f>
        <v>989</v>
      </c>
      <c r="P36" s="268"/>
      <c r="Q36" s="238"/>
      <c r="R36" s="204">
        <f>L36-M36-P36</f>
        <v>989</v>
      </c>
    </row>
    <row r="37" spans="2:18" ht="15" customHeight="1" x14ac:dyDescent="0.25">
      <c r="B37" s="248"/>
      <c r="C37" s="254"/>
      <c r="D37" s="259"/>
      <c r="E37" s="17" t="s">
        <v>97</v>
      </c>
      <c r="F37" s="19" t="s">
        <v>149</v>
      </c>
      <c r="G37" s="6" t="s">
        <v>187</v>
      </c>
      <c r="H37" s="193"/>
      <c r="I37" s="193"/>
      <c r="J37" s="193"/>
      <c r="K37" s="211"/>
      <c r="L37" s="269"/>
      <c r="M37" s="269"/>
      <c r="N37" s="239"/>
      <c r="O37" s="205"/>
      <c r="P37" s="269"/>
      <c r="Q37" s="239"/>
      <c r="R37" s="205"/>
    </row>
    <row r="38" spans="2:18" ht="15" customHeight="1" x14ac:dyDescent="0.25">
      <c r="B38" s="249"/>
      <c r="C38" s="255"/>
      <c r="D38" s="251"/>
      <c r="E38" s="17" t="s">
        <v>98</v>
      </c>
      <c r="F38" s="19" t="s">
        <v>149</v>
      </c>
      <c r="G38" s="6" t="s">
        <v>188</v>
      </c>
      <c r="H38" s="194"/>
      <c r="I38" s="194"/>
      <c r="J38" s="194"/>
      <c r="K38" s="212"/>
      <c r="L38" s="270"/>
      <c r="M38" s="270"/>
      <c r="N38" s="240"/>
      <c r="O38" s="206"/>
      <c r="P38" s="270"/>
      <c r="Q38" s="240"/>
      <c r="R38" s="206"/>
    </row>
    <row r="39" spans="2:18" ht="15" customHeight="1" x14ac:dyDescent="0.25">
      <c r="B39" s="256">
        <v>411013</v>
      </c>
      <c r="C39" s="256" t="s">
        <v>32</v>
      </c>
      <c r="D39" s="256" t="s">
        <v>84</v>
      </c>
      <c r="E39" s="7" t="s">
        <v>96</v>
      </c>
      <c r="F39" s="11" t="s">
        <v>189</v>
      </c>
      <c r="G39" s="227" t="s">
        <v>190</v>
      </c>
      <c r="H39" s="38"/>
      <c r="I39" s="195">
        <v>38</v>
      </c>
      <c r="J39" s="187">
        <v>42</v>
      </c>
      <c r="K39" s="207">
        <v>21.5</v>
      </c>
      <c r="L39" s="204">
        <f>+J39*K39</f>
        <v>903</v>
      </c>
      <c r="M39" s="204"/>
      <c r="N39" s="235"/>
      <c r="O39" s="204">
        <f>L39-M39</f>
        <v>903</v>
      </c>
      <c r="P39" s="204"/>
      <c r="Q39" s="235"/>
      <c r="R39" s="204">
        <f>L39-M39-P39</f>
        <v>903</v>
      </c>
    </row>
    <row r="40" spans="2:18" ht="15" customHeight="1" x14ac:dyDescent="0.25">
      <c r="B40" s="257"/>
      <c r="C40" s="257"/>
      <c r="D40" s="259"/>
      <c r="E40" s="7" t="s">
        <v>97</v>
      </c>
      <c r="F40" s="11" t="s">
        <v>189</v>
      </c>
      <c r="G40" s="262"/>
      <c r="H40" s="39">
        <v>39</v>
      </c>
      <c r="I40" s="196"/>
      <c r="J40" s="188"/>
      <c r="K40" s="208"/>
      <c r="L40" s="205"/>
      <c r="M40" s="205"/>
      <c r="N40" s="236"/>
      <c r="O40" s="205"/>
      <c r="P40" s="205"/>
      <c r="Q40" s="236"/>
      <c r="R40" s="205"/>
    </row>
    <row r="41" spans="2:18" ht="15" customHeight="1" x14ac:dyDescent="0.25">
      <c r="B41" s="258"/>
      <c r="C41" s="258"/>
      <c r="D41" s="251"/>
      <c r="E41" s="7" t="s">
        <v>98</v>
      </c>
      <c r="F41" s="18" t="s">
        <v>126</v>
      </c>
      <c r="G41" s="4" t="s">
        <v>192</v>
      </c>
      <c r="H41" s="40"/>
      <c r="I41" s="197"/>
      <c r="J41" s="189"/>
      <c r="K41" s="209"/>
      <c r="L41" s="206"/>
      <c r="M41" s="206"/>
      <c r="N41" s="237"/>
      <c r="O41" s="206"/>
      <c r="P41" s="206"/>
      <c r="Q41" s="237"/>
      <c r="R41" s="206"/>
    </row>
    <row r="42" spans="2:18" ht="15" customHeight="1" x14ac:dyDescent="0.25">
      <c r="B42" s="253">
        <v>411014</v>
      </c>
      <c r="C42" s="253" t="s">
        <v>33</v>
      </c>
      <c r="D42" s="253" t="s">
        <v>85</v>
      </c>
      <c r="E42" s="17" t="s">
        <v>96</v>
      </c>
      <c r="F42" s="12" t="s">
        <v>156</v>
      </c>
      <c r="G42" s="6" t="s">
        <v>158</v>
      </c>
      <c r="H42" s="198">
        <v>26</v>
      </c>
      <c r="I42" s="198">
        <v>29</v>
      </c>
      <c r="J42" s="198">
        <v>33</v>
      </c>
      <c r="K42" s="210">
        <v>21.5</v>
      </c>
      <c r="L42" s="268">
        <f>+J42*K42</f>
        <v>709.5</v>
      </c>
      <c r="M42" s="268"/>
      <c r="N42" s="238"/>
      <c r="O42" s="204">
        <f>L42-M42</f>
        <v>709.5</v>
      </c>
      <c r="P42" s="268"/>
      <c r="Q42" s="238"/>
      <c r="R42" s="204">
        <f>L42-M42-P42</f>
        <v>709.5</v>
      </c>
    </row>
    <row r="43" spans="2:18" ht="15" customHeight="1" x14ac:dyDescent="0.25">
      <c r="B43" s="254"/>
      <c r="C43" s="254"/>
      <c r="D43" s="259"/>
      <c r="E43" s="17" t="s">
        <v>97</v>
      </c>
      <c r="F43" s="19" t="s">
        <v>157</v>
      </c>
      <c r="G43" s="225" t="s">
        <v>191</v>
      </c>
      <c r="H43" s="193"/>
      <c r="I43" s="193"/>
      <c r="J43" s="193"/>
      <c r="K43" s="211"/>
      <c r="L43" s="269"/>
      <c r="M43" s="269"/>
      <c r="N43" s="239"/>
      <c r="O43" s="205"/>
      <c r="P43" s="269"/>
      <c r="Q43" s="239"/>
      <c r="R43" s="205"/>
    </row>
    <row r="44" spans="2:18" ht="15" customHeight="1" x14ac:dyDescent="0.25">
      <c r="B44" s="255"/>
      <c r="C44" s="255"/>
      <c r="D44" s="251"/>
      <c r="E44" s="17" t="s">
        <v>98</v>
      </c>
      <c r="F44" s="19" t="s">
        <v>157</v>
      </c>
      <c r="G44" s="226"/>
      <c r="H44" s="194"/>
      <c r="I44" s="194"/>
      <c r="J44" s="194"/>
      <c r="K44" s="212"/>
      <c r="L44" s="270"/>
      <c r="M44" s="270"/>
      <c r="N44" s="240"/>
      <c r="O44" s="206"/>
      <c r="P44" s="270"/>
      <c r="Q44" s="240"/>
      <c r="R44" s="206"/>
    </row>
    <row r="45" spans="2:18" ht="15" customHeight="1" x14ac:dyDescent="0.25">
      <c r="B45" s="256">
        <v>411015</v>
      </c>
      <c r="C45" s="256" t="s">
        <v>34</v>
      </c>
      <c r="D45" s="256" t="s">
        <v>88</v>
      </c>
      <c r="E45" s="7" t="s">
        <v>96</v>
      </c>
      <c r="F45" s="11" t="s">
        <v>279</v>
      </c>
      <c r="G45" s="4" t="s">
        <v>280</v>
      </c>
      <c r="H45" s="38"/>
      <c r="I45" s="38"/>
      <c r="J45" s="190">
        <v>24</v>
      </c>
      <c r="K45" s="207">
        <v>21.5</v>
      </c>
      <c r="L45" s="204">
        <f>+J45*K45</f>
        <v>516</v>
      </c>
      <c r="M45" s="204"/>
      <c r="N45" s="235"/>
      <c r="O45" s="204">
        <f>L45-M45</f>
        <v>516</v>
      </c>
      <c r="P45" s="204"/>
      <c r="Q45" s="235"/>
      <c r="R45" s="204">
        <f>L45-M45-P45</f>
        <v>516</v>
      </c>
    </row>
    <row r="46" spans="2:18" ht="15" customHeight="1" x14ac:dyDescent="0.25">
      <c r="B46" s="257"/>
      <c r="C46" s="257"/>
      <c r="D46" s="259"/>
      <c r="E46" s="7" t="s">
        <v>97</v>
      </c>
      <c r="F46" s="18" t="s">
        <v>112</v>
      </c>
      <c r="G46" s="4" t="s">
        <v>150</v>
      </c>
      <c r="H46" s="39">
        <v>24</v>
      </c>
      <c r="I46" s="39">
        <v>24</v>
      </c>
      <c r="J46" s="191"/>
      <c r="K46" s="208"/>
      <c r="L46" s="205"/>
      <c r="M46" s="205"/>
      <c r="N46" s="236"/>
      <c r="O46" s="205"/>
      <c r="P46" s="205"/>
      <c r="Q46" s="236"/>
      <c r="R46" s="205"/>
    </row>
    <row r="47" spans="2:18" ht="15" customHeight="1" x14ac:dyDescent="0.25">
      <c r="B47" s="258"/>
      <c r="C47" s="258"/>
      <c r="D47" s="251"/>
      <c r="E47" s="7" t="s">
        <v>98</v>
      </c>
      <c r="F47" s="18" t="s">
        <v>281</v>
      </c>
      <c r="G47" s="4" t="s">
        <v>282</v>
      </c>
      <c r="H47" s="40"/>
      <c r="I47" s="40"/>
      <c r="J47" s="192"/>
      <c r="K47" s="209"/>
      <c r="L47" s="206"/>
      <c r="M47" s="206"/>
      <c r="N47" s="237"/>
      <c r="O47" s="206"/>
      <c r="P47" s="206"/>
      <c r="Q47" s="237"/>
      <c r="R47" s="206"/>
    </row>
    <row r="48" spans="2:18" ht="15" customHeight="1" x14ac:dyDescent="0.25">
      <c r="B48" s="252">
        <v>411016</v>
      </c>
      <c r="C48" s="253" t="s">
        <v>35</v>
      </c>
      <c r="D48" s="253" t="s">
        <v>89</v>
      </c>
      <c r="E48" s="17" t="s">
        <v>96</v>
      </c>
      <c r="F48" s="12" t="s">
        <v>194</v>
      </c>
      <c r="G48" s="225" t="s">
        <v>196</v>
      </c>
      <c r="H48" s="198">
        <v>37</v>
      </c>
      <c r="I48" s="195">
        <v>36</v>
      </c>
      <c r="J48" s="198">
        <v>31</v>
      </c>
      <c r="K48" s="210">
        <v>21.5</v>
      </c>
      <c r="L48" s="268">
        <f>+J48*K48</f>
        <v>666.5</v>
      </c>
      <c r="M48" s="268"/>
      <c r="N48" s="238"/>
      <c r="O48" s="204">
        <f>L48-M48</f>
        <v>666.5</v>
      </c>
      <c r="P48" s="268"/>
      <c r="Q48" s="238"/>
      <c r="R48" s="204">
        <f>L48-M48-P48</f>
        <v>666.5</v>
      </c>
    </row>
    <row r="49" spans="2:19" ht="15" customHeight="1" x14ac:dyDescent="0.25">
      <c r="B49" s="248"/>
      <c r="C49" s="254"/>
      <c r="D49" s="259"/>
      <c r="E49" s="17" t="s">
        <v>97</v>
      </c>
      <c r="F49" s="19" t="s">
        <v>194</v>
      </c>
      <c r="G49" s="226"/>
      <c r="H49" s="193"/>
      <c r="I49" s="196"/>
      <c r="J49" s="193"/>
      <c r="K49" s="211"/>
      <c r="L49" s="269"/>
      <c r="M49" s="269"/>
      <c r="N49" s="239"/>
      <c r="O49" s="205"/>
      <c r="P49" s="269"/>
      <c r="Q49" s="239"/>
      <c r="R49" s="205"/>
    </row>
    <row r="50" spans="2:19" ht="15" customHeight="1" x14ac:dyDescent="0.25">
      <c r="B50" s="249"/>
      <c r="C50" s="255"/>
      <c r="D50" s="251"/>
      <c r="E50" s="17" t="s">
        <v>98</v>
      </c>
      <c r="F50" s="19" t="s">
        <v>195</v>
      </c>
      <c r="G50" s="6" t="s">
        <v>197</v>
      </c>
      <c r="H50" s="194"/>
      <c r="I50" s="197"/>
      <c r="J50" s="194"/>
      <c r="K50" s="212"/>
      <c r="L50" s="270"/>
      <c r="M50" s="270"/>
      <c r="N50" s="240"/>
      <c r="O50" s="206"/>
      <c r="P50" s="270"/>
      <c r="Q50" s="240"/>
      <c r="R50" s="206"/>
    </row>
    <row r="51" spans="2:19" ht="15" customHeight="1" x14ac:dyDescent="0.25">
      <c r="B51" s="244">
        <v>411017</v>
      </c>
      <c r="C51" s="256" t="s">
        <v>36</v>
      </c>
      <c r="D51" s="256" t="s">
        <v>90</v>
      </c>
      <c r="E51" s="7" t="s">
        <v>96</v>
      </c>
      <c r="F51" s="11" t="s">
        <v>169</v>
      </c>
      <c r="G51" s="37" t="s">
        <v>193</v>
      </c>
      <c r="H51" s="38"/>
      <c r="I51" s="38"/>
      <c r="J51" s="187">
        <v>25</v>
      </c>
      <c r="K51" s="207">
        <v>21.5</v>
      </c>
      <c r="L51" s="204">
        <f>+J51*K51</f>
        <v>537.5</v>
      </c>
      <c r="M51" s="204"/>
      <c r="N51" s="235"/>
      <c r="O51" s="204">
        <f>L51-M51</f>
        <v>537.5</v>
      </c>
      <c r="P51" s="204"/>
      <c r="Q51" s="235"/>
      <c r="R51" s="204">
        <f>L51-M51-P51</f>
        <v>537.5</v>
      </c>
    </row>
    <row r="52" spans="2:19" ht="15" customHeight="1" x14ac:dyDescent="0.25">
      <c r="B52" s="245"/>
      <c r="C52" s="257"/>
      <c r="D52" s="259"/>
      <c r="E52" s="7" t="s">
        <v>97</v>
      </c>
      <c r="F52" s="18" t="s">
        <v>112</v>
      </c>
      <c r="G52" s="4" t="s">
        <v>150</v>
      </c>
      <c r="H52" s="39">
        <v>25</v>
      </c>
      <c r="I52" s="39">
        <v>29</v>
      </c>
      <c r="J52" s="188"/>
      <c r="K52" s="208"/>
      <c r="L52" s="205"/>
      <c r="M52" s="205"/>
      <c r="N52" s="236"/>
      <c r="O52" s="205"/>
      <c r="P52" s="205"/>
      <c r="Q52" s="236"/>
      <c r="R52" s="205"/>
    </row>
    <row r="53" spans="2:19" ht="15" customHeight="1" x14ac:dyDescent="0.25">
      <c r="B53" s="246"/>
      <c r="C53" s="258"/>
      <c r="D53" s="251"/>
      <c r="E53" s="7" t="s">
        <v>98</v>
      </c>
      <c r="F53" s="18" t="s">
        <v>127</v>
      </c>
      <c r="G53" s="4" t="s">
        <v>128</v>
      </c>
      <c r="H53" s="40"/>
      <c r="I53" s="40"/>
      <c r="J53" s="189"/>
      <c r="K53" s="209"/>
      <c r="L53" s="206"/>
      <c r="M53" s="206"/>
      <c r="N53" s="237"/>
      <c r="O53" s="206"/>
      <c r="P53" s="206"/>
      <c r="Q53" s="237"/>
      <c r="R53" s="206"/>
    </row>
    <row r="54" spans="2:19" ht="15" customHeight="1" x14ac:dyDescent="0.25">
      <c r="B54" s="252">
        <v>411018</v>
      </c>
      <c r="C54" s="253" t="s">
        <v>37</v>
      </c>
      <c r="D54" s="253" t="s">
        <v>77</v>
      </c>
      <c r="E54" s="17" t="s">
        <v>96</v>
      </c>
      <c r="F54" s="12" t="s">
        <v>153</v>
      </c>
      <c r="G54" s="6" t="s">
        <v>199</v>
      </c>
      <c r="H54" s="198">
        <v>36</v>
      </c>
      <c r="I54" s="198">
        <v>36</v>
      </c>
      <c r="J54" s="190">
        <v>36</v>
      </c>
      <c r="K54" s="210">
        <v>80</v>
      </c>
      <c r="L54" s="277">
        <f>+J54*K54</f>
        <v>2880</v>
      </c>
      <c r="M54" s="268"/>
      <c r="N54" s="238"/>
      <c r="O54" s="204">
        <f>L54-M54</f>
        <v>2880</v>
      </c>
      <c r="P54" s="268"/>
      <c r="Q54" s="238"/>
      <c r="R54" s="204">
        <f>L54-M54-P54</f>
        <v>2880</v>
      </c>
      <c r="S54" t="s">
        <v>233</v>
      </c>
    </row>
    <row r="55" spans="2:19" ht="15" customHeight="1" x14ac:dyDescent="0.25">
      <c r="B55" s="248"/>
      <c r="C55" s="254"/>
      <c r="D55" s="259"/>
      <c r="E55" s="17" t="s">
        <v>97</v>
      </c>
      <c r="F55" s="19" t="s">
        <v>121</v>
      </c>
      <c r="G55" s="6" t="s">
        <v>122</v>
      </c>
      <c r="H55" s="193"/>
      <c r="I55" s="193"/>
      <c r="J55" s="191"/>
      <c r="K55" s="211"/>
      <c r="L55" s="278"/>
      <c r="M55" s="269"/>
      <c r="N55" s="239"/>
      <c r="O55" s="205"/>
      <c r="P55" s="269"/>
      <c r="Q55" s="239"/>
      <c r="R55" s="205"/>
    </row>
    <row r="56" spans="2:19" ht="15" customHeight="1" x14ac:dyDescent="0.25">
      <c r="B56" s="249"/>
      <c r="C56" s="255"/>
      <c r="D56" s="251"/>
      <c r="E56" s="17" t="s">
        <v>98</v>
      </c>
      <c r="F56" s="19" t="s">
        <v>154</v>
      </c>
      <c r="G56" s="6" t="s">
        <v>306</v>
      </c>
      <c r="H56" s="194"/>
      <c r="I56" s="194"/>
      <c r="J56" s="192"/>
      <c r="K56" s="212"/>
      <c r="L56" s="279"/>
      <c r="M56" s="270"/>
      <c r="N56" s="240"/>
      <c r="O56" s="206"/>
      <c r="P56" s="270"/>
      <c r="Q56" s="240"/>
      <c r="R56" s="206"/>
    </row>
    <row r="57" spans="2:19" ht="15" customHeight="1" x14ac:dyDescent="0.25">
      <c r="B57" s="244">
        <v>411019</v>
      </c>
      <c r="C57" s="256" t="s">
        <v>38</v>
      </c>
      <c r="D57" s="256" t="s">
        <v>144</v>
      </c>
      <c r="E57" s="7" t="s">
        <v>96</v>
      </c>
      <c r="F57" s="11" t="s">
        <v>283</v>
      </c>
      <c r="G57" s="4" t="s">
        <v>284</v>
      </c>
      <c r="H57" s="38"/>
      <c r="I57" s="38"/>
      <c r="J57" s="187">
        <v>24</v>
      </c>
      <c r="K57" s="207">
        <v>80</v>
      </c>
      <c r="L57" s="280">
        <f>+J57*K57</f>
        <v>1920</v>
      </c>
      <c r="M57" s="204"/>
      <c r="N57" s="235"/>
      <c r="O57" s="204">
        <f>L57-M57</f>
        <v>1920</v>
      </c>
      <c r="P57" s="204"/>
      <c r="Q57" s="235"/>
      <c r="R57" s="204">
        <f>L57-M57-P57</f>
        <v>1920</v>
      </c>
    </row>
    <row r="58" spans="2:19" ht="15" customHeight="1" x14ac:dyDescent="0.25">
      <c r="B58" s="245"/>
      <c r="C58" s="257"/>
      <c r="D58" s="259"/>
      <c r="E58" s="7" t="s">
        <v>97</v>
      </c>
      <c r="F58" s="18" t="s">
        <v>123</v>
      </c>
      <c r="G58" s="227" t="s">
        <v>124</v>
      </c>
      <c r="H58" s="39">
        <v>22</v>
      </c>
      <c r="I58" s="39">
        <v>23</v>
      </c>
      <c r="J58" s="193"/>
      <c r="K58" s="208"/>
      <c r="L58" s="281"/>
      <c r="M58" s="205"/>
      <c r="N58" s="236"/>
      <c r="O58" s="205"/>
      <c r="P58" s="205"/>
      <c r="Q58" s="236"/>
      <c r="R58" s="205"/>
    </row>
    <row r="59" spans="2:19" ht="15" customHeight="1" x14ac:dyDescent="0.25">
      <c r="B59" s="246"/>
      <c r="C59" s="258"/>
      <c r="D59" s="251"/>
      <c r="E59" s="7" t="s">
        <v>98</v>
      </c>
      <c r="F59" s="18" t="s">
        <v>123</v>
      </c>
      <c r="G59" s="262"/>
      <c r="H59" s="40"/>
      <c r="I59" s="40"/>
      <c r="J59" s="194"/>
      <c r="K59" s="209"/>
      <c r="L59" s="282"/>
      <c r="M59" s="206"/>
      <c r="N59" s="237"/>
      <c r="O59" s="206"/>
      <c r="P59" s="206"/>
      <c r="Q59" s="237"/>
      <c r="R59" s="206"/>
    </row>
    <row r="60" spans="2:19" ht="15" customHeight="1" x14ac:dyDescent="0.25">
      <c r="B60" s="252">
        <v>411020</v>
      </c>
      <c r="C60" s="253" t="s">
        <v>39</v>
      </c>
      <c r="D60" s="253" t="s">
        <v>78</v>
      </c>
      <c r="E60" s="17" t="s">
        <v>96</v>
      </c>
      <c r="F60" s="12" t="s">
        <v>200</v>
      </c>
      <c r="G60" s="6" t="s">
        <v>201</v>
      </c>
      <c r="H60" s="198">
        <v>25</v>
      </c>
      <c r="I60" s="198">
        <v>23</v>
      </c>
      <c r="J60" s="198">
        <v>16</v>
      </c>
      <c r="K60" s="210">
        <v>80</v>
      </c>
      <c r="L60" s="277">
        <f>+J60*K60</f>
        <v>1280</v>
      </c>
      <c r="M60" s="268"/>
      <c r="N60" s="238"/>
      <c r="O60" s="204">
        <f>L60-M60</f>
        <v>1280</v>
      </c>
      <c r="P60" s="268"/>
      <c r="Q60" s="238"/>
      <c r="R60" s="204">
        <f>L60-M60-P60</f>
        <v>1280</v>
      </c>
      <c r="S60" s="9" t="s">
        <v>22</v>
      </c>
    </row>
    <row r="61" spans="2:19" ht="15" customHeight="1" x14ac:dyDescent="0.25">
      <c r="B61" s="248"/>
      <c r="C61" s="254"/>
      <c r="D61" s="259"/>
      <c r="E61" s="17" t="s">
        <v>97</v>
      </c>
      <c r="F61" s="19" t="s">
        <v>202</v>
      </c>
      <c r="G61" s="6" t="s">
        <v>203</v>
      </c>
      <c r="H61" s="193"/>
      <c r="I61" s="193"/>
      <c r="J61" s="193"/>
      <c r="K61" s="211"/>
      <c r="L61" s="278"/>
      <c r="M61" s="269"/>
      <c r="N61" s="239"/>
      <c r="O61" s="205"/>
      <c r="P61" s="269"/>
      <c r="Q61" s="239"/>
      <c r="R61" s="205"/>
      <c r="S61" s="9"/>
    </row>
    <row r="62" spans="2:19" ht="15" customHeight="1" x14ac:dyDescent="0.25">
      <c r="B62" s="249"/>
      <c r="C62" s="255"/>
      <c r="D62" s="251"/>
      <c r="E62" s="17" t="s">
        <v>98</v>
      </c>
      <c r="F62" s="19" t="s">
        <v>18</v>
      </c>
      <c r="G62" s="29" t="s">
        <v>19</v>
      </c>
      <c r="H62" s="194"/>
      <c r="I62" s="194"/>
      <c r="J62" s="194"/>
      <c r="K62" s="212"/>
      <c r="L62" s="279"/>
      <c r="M62" s="270"/>
      <c r="N62" s="240"/>
      <c r="O62" s="206"/>
      <c r="P62" s="270"/>
      <c r="Q62" s="240"/>
      <c r="R62" s="206"/>
      <c r="S62" s="9"/>
    </row>
    <row r="63" spans="2:19" ht="15" customHeight="1" x14ac:dyDescent="0.25">
      <c r="B63" s="256">
        <v>411021</v>
      </c>
      <c r="C63" s="256" t="s">
        <v>40</v>
      </c>
      <c r="D63" s="256" t="s">
        <v>140</v>
      </c>
      <c r="E63" s="7" t="s">
        <v>96</v>
      </c>
      <c r="F63" s="11" t="s">
        <v>162</v>
      </c>
      <c r="G63" s="4" t="s">
        <v>163</v>
      </c>
      <c r="H63" s="187">
        <v>41</v>
      </c>
      <c r="I63" s="195">
        <v>40</v>
      </c>
      <c r="J63" s="187">
        <v>39</v>
      </c>
      <c r="K63" s="207">
        <v>21.5</v>
      </c>
      <c r="L63" s="204">
        <f>+J63*K63</f>
        <v>838.5</v>
      </c>
      <c r="M63" s="204"/>
      <c r="N63" s="235"/>
      <c r="O63" s="204">
        <f>L63-M63</f>
        <v>838.5</v>
      </c>
      <c r="P63" s="204"/>
      <c r="Q63" s="235"/>
      <c r="R63" s="204">
        <f>L63-M63-P63</f>
        <v>838.5</v>
      </c>
    </row>
    <row r="64" spans="2:19" ht="15" customHeight="1" x14ac:dyDescent="0.25">
      <c r="B64" s="257"/>
      <c r="C64" s="257"/>
      <c r="D64" s="259"/>
      <c r="E64" s="7" t="s">
        <v>97</v>
      </c>
      <c r="F64" s="18" t="s">
        <v>204</v>
      </c>
      <c r="G64" s="4" t="s">
        <v>205</v>
      </c>
      <c r="H64" s="193"/>
      <c r="I64" s="196"/>
      <c r="J64" s="193"/>
      <c r="K64" s="208"/>
      <c r="L64" s="205"/>
      <c r="M64" s="205"/>
      <c r="N64" s="236"/>
      <c r="O64" s="205"/>
      <c r="P64" s="205"/>
      <c r="Q64" s="236"/>
      <c r="R64" s="205"/>
    </row>
    <row r="65" spans="2:18" ht="15" customHeight="1" x14ac:dyDescent="0.25">
      <c r="B65" s="258"/>
      <c r="C65" s="258"/>
      <c r="D65" s="251"/>
      <c r="E65" s="7" t="s">
        <v>98</v>
      </c>
      <c r="F65" s="18" t="s">
        <v>131</v>
      </c>
      <c r="G65" s="4" t="s">
        <v>132</v>
      </c>
      <c r="H65" s="194"/>
      <c r="I65" s="197"/>
      <c r="J65" s="194"/>
      <c r="K65" s="209"/>
      <c r="L65" s="206"/>
      <c r="M65" s="206"/>
      <c r="N65" s="237"/>
      <c r="O65" s="206"/>
      <c r="P65" s="206"/>
      <c r="Q65" s="237"/>
      <c r="R65" s="206"/>
    </row>
    <row r="66" spans="2:18" ht="15" customHeight="1" x14ac:dyDescent="0.25">
      <c r="B66" s="253">
        <v>411022</v>
      </c>
      <c r="C66" s="253" t="s">
        <v>41</v>
      </c>
      <c r="D66" s="253" t="s">
        <v>141</v>
      </c>
      <c r="E66" s="17" t="s">
        <v>96</v>
      </c>
      <c r="F66" s="12" t="s">
        <v>265</v>
      </c>
      <c r="G66" s="6" t="s">
        <v>266</v>
      </c>
      <c r="H66" s="198">
        <v>9</v>
      </c>
      <c r="I66" s="195">
        <v>9</v>
      </c>
      <c r="J66" s="198">
        <v>9</v>
      </c>
      <c r="K66" s="210">
        <v>21.5</v>
      </c>
      <c r="L66" s="268">
        <f>+J66*K66</f>
        <v>193.5</v>
      </c>
      <c r="M66" s="268"/>
      <c r="N66" s="238"/>
      <c r="O66" s="204">
        <f>L66-M66</f>
        <v>193.5</v>
      </c>
      <c r="P66" s="268"/>
      <c r="Q66" s="238"/>
      <c r="R66" s="204">
        <f>L66-M66-P66</f>
        <v>193.5</v>
      </c>
    </row>
    <row r="67" spans="2:18" ht="15" customHeight="1" x14ac:dyDescent="0.25">
      <c r="B67" s="254"/>
      <c r="C67" s="254"/>
      <c r="D67" s="259"/>
      <c r="E67" s="17" t="s">
        <v>97</v>
      </c>
      <c r="F67" s="19" t="s">
        <v>206</v>
      </c>
      <c r="G67" s="6" t="s">
        <v>285</v>
      </c>
      <c r="H67" s="193"/>
      <c r="I67" s="196"/>
      <c r="J67" s="193"/>
      <c r="K67" s="211"/>
      <c r="L67" s="269"/>
      <c r="M67" s="269"/>
      <c r="N67" s="239"/>
      <c r="O67" s="205"/>
      <c r="P67" s="269"/>
      <c r="Q67" s="239"/>
      <c r="R67" s="205"/>
    </row>
    <row r="68" spans="2:18" ht="15" customHeight="1" x14ac:dyDescent="0.25">
      <c r="B68" s="255"/>
      <c r="C68" s="255"/>
      <c r="D68" s="251"/>
      <c r="E68" s="17" t="s">
        <v>98</v>
      </c>
      <c r="F68" s="19" t="s">
        <v>131</v>
      </c>
      <c r="G68" s="6" t="s">
        <v>132</v>
      </c>
      <c r="H68" s="194"/>
      <c r="I68" s="197"/>
      <c r="J68" s="194"/>
      <c r="K68" s="212"/>
      <c r="L68" s="270"/>
      <c r="M68" s="270"/>
      <c r="N68" s="240"/>
      <c r="O68" s="206"/>
      <c r="P68" s="270"/>
      <c r="Q68" s="240"/>
      <c r="R68" s="206"/>
    </row>
    <row r="69" spans="2:18" ht="16.5" customHeight="1" x14ac:dyDescent="0.25">
      <c r="B69" s="256">
        <v>411023</v>
      </c>
      <c r="C69" s="256" t="s">
        <v>42</v>
      </c>
      <c r="D69" s="256" t="s">
        <v>145</v>
      </c>
      <c r="E69" s="7" t="s">
        <v>96</v>
      </c>
      <c r="F69" s="30" t="s">
        <v>164</v>
      </c>
      <c r="G69" s="27" t="s">
        <v>165</v>
      </c>
      <c r="H69" s="187">
        <v>13</v>
      </c>
      <c r="I69" s="195">
        <v>13</v>
      </c>
      <c r="J69" s="187">
        <v>11</v>
      </c>
      <c r="K69" s="207">
        <v>21.5</v>
      </c>
      <c r="L69" s="204">
        <f>+J69*K69</f>
        <v>236.5</v>
      </c>
      <c r="M69" s="204"/>
      <c r="N69" s="235"/>
      <c r="O69" s="204">
        <f>L69-M69</f>
        <v>236.5</v>
      </c>
      <c r="P69" s="204"/>
      <c r="Q69" s="235"/>
      <c r="R69" s="204">
        <f>L69-M69-P69</f>
        <v>236.5</v>
      </c>
    </row>
    <row r="70" spans="2:18" ht="16.5" customHeight="1" x14ac:dyDescent="0.25">
      <c r="B70" s="257"/>
      <c r="C70" s="257"/>
      <c r="D70" s="259"/>
      <c r="E70" s="7" t="s">
        <v>97</v>
      </c>
      <c r="F70" s="18" t="s">
        <v>206</v>
      </c>
      <c r="G70" s="4" t="s">
        <v>285</v>
      </c>
      <c r="H70" s="188"/>
      <c r="I70" s="196"/>
      <c r="J70" s="193"/>
      <c r="K70" s="208"/>
      <c r="L70" s="205"/>
      <c r="M70" s="205"/>
      <c r="N70" s="236"/>
      <c r="O70" s="205"/>
      <c r="P70" s="205"/>
      <c r="Q70" s="236"/>
      <c r="R70" s="205"/>
    </row>
    <row r="71" spans="2:18" ht="16.5" customHeight="1" x14ac:dyDescent="0.25">
      <c r="B71" s="258"/>
      <c r="C71" s="258"/>
      <c r="D71" s="251"/>
      <c r="E71" s="7" t="s">
        <v>98</v>
      </c>
      <c r="F71" s="30" t="s">
        <v>133</v>
      </c>
      <c r="G71" s="27" t="s">
        <v>134</v>
      </c>
      <c r="H71" s="189"/>
      <c r="I71" s="197"/>
      <c r="J71" s="194"/>
      <c r="K71" s="209"/>
      <c r="L71" s="206"/>
      <c r="M71" s="206"/>
      <c r="N71" s="237"/>
      <c r="O71" s="206"/>
      <c r="P71" s="206"/>
      <c r="Q71" s="237"/>
      <c r="R71" s="206"/>
    </row>
    <row r="72" spans="2:18" ht="15" customHeight="1" x14ac:dyDescent="0.25">
      <c r="B72" s="253"/>
      <c r="C72" s="253"/>
      <c r="D72" s="253"/>
      <c r="E72" s="17"/>
      <c r="F72" s="12"/>
      <c r="G72" s="6"/>
      <c r="H72" s="198"/>
      <c r="I72" s="198"/>
      <c r="J72" s="198"/>
      <c r="K72" s="210"/>
      <c r="L72" s="268"/>
      <c r="M72" s="268"/>
      <c r="N72" s="238"/>
      <c r="O72" s="204"/>
      <c r="P72" s="268"/>
      <c r="Q72" s="238"/>
      <c r="R72" s="204"/>
    </row>
    <row r="73" spans="2:18" ht="15" customHeight="1" x14ac:dyDescent="0.25">
      <c r="B73" s="254"/>
      <c r="C73" s="254"/>
      <c r="D73" s="259"/>
      <c r="E73" s="17"/>
      <c r="F73" s="12"/>
      <c r="G73" s="6"/>
      <c r="H73" s="193"/>
      <c r="I73" s="193"/>
      <c r="J73" s="193"/>
      <c r="K73" s="211"/>
      <c r="L73" s="269"/>
      <c r="M73" s="269"/>
      <c r="N73" s="239"/>
      <c r="O73" s="205"/>
      <c r="P73" s="269"/>
      <c r="Q73" s="239"/>
      <c r="R73" s="205"/>
    </row>
    <row r="74" spans="2:18" ht="15" customHeight="1" x14ac:dyDescent="0.25">
      <c r="B74" s="255"/>
      <c r="C74" s="255"/>
      <c r="D74" s="251"/>
      <c r="E74" s="17"/>
      <c r="F74" s="19"/>
      <c r="G74" s="6"/>
      <c r="H74" s="194"/>
      <c r="I74" s="194"/>
      <c r="J74" s="194"/>
      <c r="K74" s="212"/>
      <c r="L74" s="270"/>
      <c r="M74" s="270"/>
      <c r="N74" s="240"/>
      <c r="O74" s="206"/>
      <c r="P74" s="270"/>
      <c r="Q74" s="240"/>
      <c r="R74" s="206"/>
    </row>
    <row r="75" spans="2:18" ht="15" customHeight="1" x14ac:dyDescent="0.25">
      <c r="B75" s="256">
        <v>411025</v>
      </c>
      <c r="C75" s="256" t="s">
        <v>43</v>
      </c>
      <c r="D75" s="256" t="s">
        <v>73</v>
      </c>
      <c r="E75" s="7" t="s">
        <v>96</v>
      </c>
      <c r="F75" s="11" t="s">
        <v>207</v>
      </c>
      <c r="G75" s="4" t="s">
        <v>208</v>
      </c>
      <c r="H75" s="187">
        <v>49</v>
      </c>
      <c r="I75" s="187">
        <v>47</v>
      </c>
      <c r="J75" s="187">
        <v>45</v>
      </c>
      <c r="K75" s="207">
        <v>80</v>
      </c>
      <c r="L75" s="204">
        <f>+J75*K75</f>
        <v>3600</v>
      </c>
      <c r="M75" s="204"/>
      <c r="N75" s="235"/>
      <c r="O75" s="204">
        <f>L75-M75</f>
        <v>3600</v>
      </c>
      <c r="P75" s="204"/>
      <c r="Q75" s="235"/>
      <c r="R75" s="204">
        <f>L75-M75-P75</f>
        <v>3600</v>
      </c>
    </row>
    <row r="76" spans="2:18" ht="15" customHeight="1" x14ac:dyDescent="0.25">
      <c r="B76" s="257"/>
      <c r="C76" s="257"/>
      <c r="D76" s="259"/>
      <c r="E76" s="7" t="s">
        <v>97</v>
      </c>
      <c r="F76" s="18" t="s">
        <v>115</v>
      </c>
      <c r="G76" s="4" t="s">
        <v>116</v>
      </c>
      <c r="H76" s="188"/>
      <c r="I76" s="188"/>
      <c r="J76" s="188"/>
      <c r="K76" s="208"/>
      <c r="L76" s="205"/>
      <c r="M76" s="205"/>
      <c r="N76" s="236"/>
      <c r="O76" s="205"/>
      <c r="P76" s="205"/>
      <c r="Q76" s="236"/>
      <c r="R76" s="205"/>
    </row>
    <row r="77" spans="2:18" ht="15" customHeight="1" x14ac:dyDescent="0.25">
      <c r="B77" s="258"/>
      <c r="C77" s="258"/>
      <c r="D77" s="251"/>
      <c r="E77" s="7" t="s">
        <v>98</v>
      </c>
      <c r="F77" s="18" t="s">
        <v>115</v>
      </c>
      <c r="G77" s="4" t="s">
        <v>116</v>
      </c>
      <c r="H77" s="189"/>
      <c r="I77" s="189"/>
      <c r="J77" s="189"/>
      <c r="K77" s="209"/>
      <c r="L77" s="206"/>
      <c r="M77" s="206"/>
      <c r="N77" s="237"/>
      <c r="O77" s="206"/>
      <c r="P77" s="206"/>
      <c r="Q77" s="237"/>
      <c r="R77" s="206"/>
    </row>
    <row r="78" spans="2:18" ht="15" customHeight="1" x14ac:dyDescent="0.25">
      <c r="B78" s="253">
        <v>411026</v>
      </c>
      <c r="C78" s="253" t="s">
        <v>44</v>
      </c>
      <c r="D78" s="253" t="s">
        <v>74</v>
      </c>
      <c r="E78" s="17" t="s">
        <v>96</v>
      </c>
      <c r="F78" s="12" t="s">
        <v>251</v>
      </c>
      <c r="G78" s="6" t="s">
        <v>252</v>
      </c>
      <c r="H78" s="198">
        <v>25</v>
      </c>
      <c r="I78" s="195">
        <v>24</v>
      </c>
      <c r="J78" s="190">
        <v>24</v>
      </c>
      <c r="K78" s="210">
        <v>80</v>
      </c>
      <c r="L78" s="268">
        <f>+J78*K78</f>
        <v>1920</v>
      </c>
      <c r="M78" s="268"/>
      <c r="N78" s="238"/>
      <c r="O78" s="204">
        <f>L78-M78</f>
        <v>1920</v>
      </c>
      <c r="P78" s="268"/>
      <c r="Q78" s="238"/>
      <c r="R78" s="204">
        <f>L78-M78-P78</f>
        <v>1920</v>
      </c>
    </row>
    <row r="79" spans="2:18" ht="15" customHeight="1" x14ac:dyDescent="0.25">
      <c r="B79" s="254"/>
      <c r="C79" s="254"/>
      <c r="D79" s="259"/>
      <c r="E79" s="17" t="s">
        <v>97</v>
      </c>
      <c r="F79" s="19" t="s">
        <v>2</v>
      </c>
      <c r="G79" s="6" t="s">
        <v>3</v>
      </c>
      <c r="H79" s="193"/>
      <c r="I79" s="196"/>
      <c r="J79" s="191"/>
      <c r="K79" s="211"/>
      <c r="L79" s="269"/>
      <c r="M79" s="269"/>
      <c r="N79" s="239"/>
      <c r="O79" s="205"/>
      <c r="P79" s="269"/>
      <c r="Q79" s="239"/>
      <c r="R79" s="205"/>
    </row>
    <row r="80" spans="2:18" ht="15" customHeight="1" x14ac:dyDescent="0.25">
      <c r="B80" s="255"/>
      <c r="C80" s="255"/>
      <c r="D80" s="251"/>
      <c r="E80" s="17" t="s">
        <v>98</v>
      </c>
      <c r="F80" s="19" t="s">
        <v>117</v>
      </c>
      <c r="G80" s="6" t="s">
        <v>118</v>
      </c>
      <c r="H80" s="194"/>
      <c r="I80" s="197"/>
      <c r="J80" s="192"/>
      <c r="K80" s="212"/>
      <c r="L80" s="270"/>
      <c r="M80" s="270"/>
      <c r="N80" s="240"/>
      <c r="O80" s="206"/>
      <c r="P80" s="270"/>
      <c r="Q80" s="240"/>
      <c r="R80" s="206"/>
    </row>
    <row r="81" spans="2:18" ht="15" customHeight="1" x14ac:dyDescent="0.25">
      <c r="B81" s="256">
        <v>411027</v>
      </c>
      <c r="C81" s="256" t="s">
        <v>45</v>
      </c>
      <c r="D81" s="256" t="s">
        <v>75</v>
      </c>
      <c r="E81" s="7" t="s">
        <v>96</v>
      </c>
      <c r="F81" s="11" t="s">
        <v>253</v>
      </c>
      <c r="G81" s="227" t="s">
        <v>254</v>
      </c>
      <c r="H81" s="187">
        <v>39</v>
      </c>
      <c r="I81" s="187">
        <v>25</v>
      </c>
      <c r="J81" s="187">
        <v>18</v>
      </c>
      <c r="K81" s="207">
        <v>80</v>
      </c>
      <c r="L81" s="204">
        <f>+J81*K81</f>
        <v>1440</v>
      </c>
      <c r="M81" s="204"/>
      <c r="N81" s="235"/>
      <c r="O81" s="204">
        <f>L81-M81</f>
        <v>1440</v>
      </c>
      <c r="P81" s="204"/>
      <c r="Q81" s="235"/>
      <c r="R81" s="204">
        <f>L81-M81-P81</f>
        <v>1440</v>
      </c>
    </row>
    <row r="82" spans="2:18" ht="15" customHeight="1" x14ac:dyDescent="0.25">
      <c r="B82" s="257"/>
      <c r="C82" s="257"/>
      <c r="D82" s="259"/>
      <c r="E82" s="7" t="s">
        <v>97</v>
      </c>
      <c r="F82" s="11" t="s">
        <v>253</v>
      </c>
      <c r="G82" s="262"/>
      <c r="H82" s="188"/>
      <c r="I82" s="188"/>
      <c r="J82" s="188"/>
      <c r="K82" s="208"/>
      <c r="L82" s="205"/>
      <c r="M82" s="205"/>
      <c r="N82" s="236"/>
      <c r="O82" s="205"/>
      <c r="P82" s="205"/>
      <c r="Q82" s="236"/>
      <c r="R82" s="205"/>
    </row>
    <row r="83" spans="2:18" ht="15" customHeight="1" x14ac:dyDescent="0.25">
      <c r="B83" s="258"/>
      <c r="C83" s="258"/>
      <c r="D83" s="251"/>
      <c r="E83" s="7" t="s">
        <v>98</v>
      </c>
      <c r="F83" s="18" t="s">
        <v>286</v>
      </c>
      <c r="G83" s="4" t="s">
        <v>303</v>
      </c>
      <c r="H83" s="189"/>
      <c r="I83" s="189"/>
      <c r="J83" s="189"/>
      <c r="K83" s="209"/>
      <c r="L83" s="206"/>
      <c r="M83" s="206"/>
      <c r="N83" s="237"/>
      <c r="O83" s="206"/>
      <c r="P83" s="206"/>
      <c r="Q83" s="237"/>
      <c r="R83" s="206"/>
    </row>
    <row r="84" spans="2:18" ht="15" customHeight="1" x14ac:dyDescent="0.25">
      <c r="B84" s="253">
        <v>411028</v>
      </c>
      <c r="C84" s="253" t="s">
        <v>46</v>
      </c>
      <c r="D84" s="253" t="s">
        <v>76</v>
      </c>
      <c r="E84" s="17" t="s">
        <v>96</v>
      </c>
      <c r="F84" s="12" t="s">
        <v>151</v>
      </c>
      <c r="G84" s="225" t="s">
        <v>152</v>
      </c>
      <c r="H84" s="198">
        <v>38</v>
      </c>
      <c r="I84" s="195">
        <v>37</v>
      </c>
      <c r="J84" s="198">
        <v>37</v>
      </c>
      <c r="K84" s="210">
        <v>80</v>
      </c>
      <c r="L84" s="268">
        <f>+J84*K84</f>
        <v>2960</v>
      </c>
      <c r="M84" s="268"/>
      <c r="N84" s="238"/>
      <c r="O84" s="204">
        <f>L84-M84</f>
        <v>2960</v>
      </c>
      <c r="P84" s="268"/>
      <c r="Q84" s="238"/>
      <c r="R84" s="204">
        <f>L84-M84-P84</f>
        <v>2960</v>
      </c>
    </row>
    <row r="85" spans="2:18" ht="15" customHeight="1" x14ac:dyDescent="0.25">
      <c r="B85" s="254"/>
      <c r="C85" s="254"/>
      <c r="D85" s="259"/>
      <c r="E85" s="17" t="s">
        <v>97</v>
      </c>
      <c r="F85" s="12" t="s">
        <v>151</v>
      </c>
      <c r="G85" s="262"/>
      <c r="H85" s="193"/>
      <c r="I85" s="196"/>
      <c r="J85" s="193"/>
      <c r="K85" s="211"/>
      <c r="L85" s="269"/>
      <c r="M85" s="269"/>
      <c r="N85" s="239"/>
      <c r="O85" s="205"/>
      <c r="P85" s="269"/>
      <c r="Q85" s="239"/>
      <c r="R85" s="205"/>
    </row>
    <row r="86" spans="2:18" ht="15" customHeight="1" x14ac:dyDescent="0.25">
      <c r="B86" s="255"/>
      <c r="C86" s="255"/>
      <c r="D86" s="251"/>
      <c r="E86" s="17" t="s">
        <v>98</v>
      </c>
      <c r="F86" s="19" t="s">
        <v>119</v>
      </c>
      <c r="G86" s="6" t="s">
        <v>120</v>
      </c>
      <c r="H86" s="194"/>
      <c r="I86" s="197"/>
      <c r="J86" s="194"/>
      <c r="K86" s="212"/>
      <c r="L86" s="270"/>
      <c r="M86" s="270"/>
      <c r="N86" s="240"/>
      <c r="O86" s="206"/>
      <c r="P86" s="270"/>
      <c r="Q86" s="240"/>
      <c r="R86" s="206"/>
    </row>
    <row r="87" spans="2:18" ht="15" customHeight="1" x14ac:dyDescent="0.25">
      <c r="B87" s="256">
        <v>411029</v>
      </c>
      <c r="C87" s="256" t="s">
        <v>47</v>
      </c>
      <c r="D87" s="47" t="s">
        <v>91</v>
      </c>
      <c r="E87" s="7" t="s">
        <v>96</v>
      </c>
      <c r="F87" s="11" t="s">
        <v>267</v>
      </c>
      <c r="G87" s="37" t="s">
        <v>268</v>
      </c>
      <c r="H87" s="38"/>
      <c r="I87" s="195">
        <v>41</v>
      </c>
      <c r="J87" s="187">
        <v>38</v>
      </c>
      <c r="K87" s="207">
        <v>21.5</v>
      </c>
      <c r="L87" s="204">
        <f>+J87*K87</f>
        <v>817</v>
      </c>
      <c r="M87" s="204"/>
      <c r="N87" s="235"/>
      <c r="O87" s="204">
        <f>L87-M87</f>
        <v>817</v>
      </c>
      <c r="P87" s="204"/>
      <c r="Q87" s="235"/>
      <c r="R87" s="204">
        <f>L87-M87-P87</f>
        <v>817</v>
      </c>
    </row>
    <row r="88" spans="2:18" ht="15" customHeight="1" x14ac:dyDescent="0.25">
      <c r="B88" s="257"/>
      <c r="C88" s="257"/>
      <c r="D88" s="48" t="s">
        <v>327</v>
      </c>
      <c r="E88" s="7" t="s">
        <v>97</v>
      </c>
      <c r="F88" s="11" t="s">
        <v>267</v>
      </c>
      <c r="G88" s="37" t="s">
        <v>268</v>
      </c>
      <c r="H88" s="39">
        <f>28+14</f>
        <v>42</v>
      </c>
      <c r="I88" s="196"/>
      <c r="J88" s="188"/>
      <c r="K88" s="208"/>
      <c r="L88" s="205"/>
      <c r="M88" s="205"/>
      <c r="N88" s="236"/>
      <c r="O88" s="205"/>
      <c r="P88" s="205"/>
      <c r="Q88" s="236"/>
      <c r="R88" s="205"/>
    </row>
    <row r="89" spans="2:18" ht="15" customHeight="1" x14ac:dyDescent="0.25">
      <c r="B89" s="258"/>
      <c r="C89" s="258"/>
      <c r="D89" s="49"/>
      <c r="E89" s="7" t="s">
        <v>98</v>
      </c>
      <c r="F89" s="18" t="s">
        <v>115</v>
      </c>
      <c r="G89" s="4" t="s">
        <v>116</v>
      </c>
      <c r="H89" s="40"/>
      <c r="I89" s="197"/>
      <c r="J89" s="189"/>
      <c r="K89" s="209"/>
      <c r="L89" s="206"/>
      <c r="M89" s="206"/>
      <c r="N89" s="237"/>
      <c r="O89" s="206"/>
      <c r="P89" s="206"/>
      <c r="Q89" s="237"/>
      <c r="R89" s="206"/>
    </row>
    <row r="90" spans="2:18" ht="15" customHeight="1" x14ac:dyDescent="0.25">
      <c r="B90" s="253">
        <v>411030</v>
      </c>
      <c r="C90" s="253" t="s">
        <v>48</v>
      </c>
      <c r="D90" s="253" t="s">
        <v>92</v>
      </c>
      <c r="E90" s="17" t="s">
        <v>96</v>
      </c>
      <c r="F90" s="12" t="s">
        <v>269</v>
      </c>
      <c r="G90" s="225" t="s">
        <v>287</v>
      </c>
      <c r="H90" s="198">
        <v>23</v>
      </c>
      <c r="I90" s="198">
        <v>19</v>
      </c>
      <c r="J90" s="190">
        <v>19</v>
      </c>
      <c r="K90" s="210">
        <v>21.5</v>
      </c>
      <c r="L90" s="268">
        <f>+J90*K90</f>
        <v>408.5</v>
      </c>
      <c r="M90" s="268"/>
      <c r="N90" s="238"/>
      <c r="O90" s="204">
        <f>L90-M90</f>
        <v>408.5</v>
      </c>
      <c r="P90" s="268"/>
      <c r="Q90" s="238"/>
      <c r="R90" s="204">
        <f>L90-M90-P90</f>
        <v>408.5</v>
      </c>
    </row>
    <row r="91" spans="2:18" ht="15" customHeight="1" x14ac:dyDescent="0.25">
      <c r="B91" s="254"/>
      <c r="C91" s="254"/>
      <c r="D91" s="259"/>
      <c r="E91" s="17" t="s">
        <v>97</v>
      </c>
      <c r="F91" s="12" t="s">
        <v>269</v>
      </c>
      <c r="G91" s="226"/>
      <c r="H91" s="193"/>
      <c r="I91" s="193"/>
      <c r="J91" s="191"/>
      <c r="K91" s="211"/>
      <c r="L91" s="269"/>
      <c r="M91" s="269"/>
      <c r="N91" s="239"/>
      <c r="O91" s="205"/>
      <c r="P91" s="269"/>
      <c r="Q91" s="239"/>
      <c r="R91" s="205"/>
    </row>
    <row r="92" spans="2:18" ht="15" customHeight="1" x14ac:dyDescent="0.25">
      <c r="B92" s="255"/>
      <c r="C92" s="255"/>
      <c r="D92" s="251"/>
      <c r="E92" s="17" t="s">
        <v>98</v>
      </c>
      <c r="F92" s="19" t="s">
        <v>135</v>
      </c>
      <c r="G92" s="6" t="s">
        <v>136</v>
      </c>
      <c r="H92" s="194"/>
      <c r="I92" s="194"/>
      <c r="J92" s="192"/>
      <c r="K92" s="212"/>
      <c r="L92" s="270"/>
      <c r="M92" s="270"/>
      <c r="N92" s="240"/>
      <c r="O92" s="206"/>
      <c r="P92" s="270"/>
      <c r="Q92" s="240"/>
      <c r="R92" s="206"/>
    </row>
    <row r="93" spans="2:18" ht="15" customHeight="1" x14ac:dyDescent="0.25">
      <c r="B93" s="256">
        <v>411031</v>
      </c>
      <c r="C93" s="256" t="s">
        <v>49</v>
      </c>
      <c r="D93" s="256" t="s">
        <v>93</v>
      </c>
      <c r="E93" s="7" t="s">
        <v>96</v>
      </c>
      <c r="F93" s="11" t="s">
        <v>1</v>
      </c>
      <c r="G93" s="227" t="s">
        <v>209</v>
      </c>
      <c r="H93" s="38"/>
      <c r="I93" s="38"/>
      <c r="J93" s="38"/>
      <c r="K93" s="207">
        <v>21.5</v>
      </c>
      <c r="L93" s="204">
        <f>+J94*K93</f>
        <v>0</v>
      </c>
      <c r="M93" s="204"/>
      <c r="N93" s="235"/>
      <c r="O93" s="204">
        <f>L93-M93</f>
        <v>0</v>
      </c>
      <c r="P93" s="204"/>
      <c r="Q93" s="235"/>
      <c r="R93" s="204">
        <f>L93-M93-P93</f>
        <v>0</v>
      </c>
    </row>
    <row r="94" spans="2:18" ht="15" customHeight="1" x14ac:dyDescent="0.25">
      <c r="B94" s="257"/>
      <c r="C94" s="257"/>
      <c r="D94" s="259"/>
      <c r="E94" s="7" t="s">
        <v>97</v>
      </c>
      <c r="F94" s="18" t="s">
        <v>1</v>
      </c>
      <c r="G94" s="228"/>
      <c r="H94" s="39"/>
      <c r="I94" s="39">
        <v>0</v>
      </c>
      <c r="J94" s="39">
        <v>0</v>
      </c>
      <c r="K94" s="208"/>
      <c r="L94" s="205"/>
      <c r="M94" s="205"/>
      <c r="N94" s="236"/>
      <c r="O94" s="205"/>
      <c r="P94" s="205"/>
      <c r="Q94" s="236"/>
      <c r="R94" s="205"/>
    </row>
    <row r="95" spans="2:18" ht="15" customHeight="1" x14ac:dyDescent="0.25">
      <c r="B95" s="258"/>
      <c r="C95" s="258"/>
      <c r="D95" s="251"/>
      <c r="E95" s="7" t="s">
        <v>98</v>
      </c>
      <c r="F95" s="18" t="s">
        <v>2</v>
      </c>
      <c r="G95" s="4" t="s">
        <v>3</v>
      </c>
      <c r="H95" s="40"/>
      <c r="I95" s="40"/>
      <c r="J95" s="40"/>
      <c r="K95" s="209"/>
      <c r="L95" s="206"/>
      <c r="M95" s="206"/>
      <c r="N95" s="237"/>
      <c r="O95" s="206"/>
      <c r="P95" s="206"/>
      <c r="Q95" s="237"/>
      <c r="R95" s="206"/>
    </row>
    <row r="96" spans="2:18" ht="15" customHeight="1" x14ac:dyDescent="0.25">
      <c r="B96" s="253">
        <v>411032</v>
      </c>
      <c r="C96" s="253" t="s">
        <v>50</v>
      </c>
      <c r="D96" s="253" t="s">
        <v>94</v>
      </c>
      <c r="E96" s="17" t="s">
        <v>96</v>
      </c>
      <c r="F96" s="12" t="s">
        <v>270</v>
      </c>
      <c r="G96" s="6" t="s">
        <v>288</v>
      </c>
      <c r="H96" s="198">
        <v>22</v>
      </c>
      <c r="I96" s="198">
        <v>21</v>
      </c>
      <c r="J96" s="198">
        <v>24</v>
      </c>
      <c r="K96" s="210">
        <v>21.5</v>
      </c>
      <c r="L96" s="268">
        <f>+J96*K96</f>
        <v>516</v>
      </c>
      <c r="M96" s="268"/>
      <c r="N96" s="238"/>
      <c r="O96" s="204">
        <f>L96-M96</f>
        <v>516</v>
      </c>
      <c r="P96" s="268"/>
      <c r="Q96" s="238"/>
      <c r="R96" s="204">
        <f>L96-M96-P96</f>
        <v>516</v>
      </c>
    </row>
    <row r="97" spans="2:18" ht="15" customHeight="1" x14ac:dyDescent="0.25">
      <c r="B97" s="254"/>
      <c r="C97" s="254"/>
      <c r="D97" s="259"/>
      <c r="E97" s="17" t="s">
        <v>97</v>
      </c>
      <c r="F97" s="19" t="s">
        <v>2</v>
      </c>
      <c r="G97" s="29" t="s">
        <v>3</v>
      </c>
      <c r="H97" s="193"/>
      <c r="I97" s="193"/>
      <c r="J97" s="193"/>
      <c r="K97" s="211"/>
      <c r="L97" s="269"/>
      <c r="M97" s="269"/>
      <c r="N97" s="239"/>
      <c r="O97" s="205"/>
      <c r="P97" s="269"/>
      <c r="Q97" s="239"/>
      <c r="R97" s="205"/>
    </row>
    <row r="98" spans="2:18" ht="15" customHeight="1" x14ac:dyDescent="0.25">
      <c r="B98" s="255"/>
      <c r="C98" s="255"/>
      <c r="D98" s="251"/>
      <c r="E98" s="17" t="s">
        <v>98</v>
      </c>
      <c r="F98" s="19" t="s">
        <v>115</v>
      </c>
      <c r="G98" s="6" t="s">
        <v>116</v>
      </c>
      <c r="H98" s="194"/>
      <c r="I98" s="194"/>
      <c r="J98" s="194"/>
      <c r="K98" s="212"/>
      <c r="L98" s="270"/>
      <c r="M98" s="270"/>
      <c r="N98" s="240"/>
      <c r="O98" s="206"/>
      <c r="P98" s="270"/>
      <c r="Q98" s="240"/>
      <c r="R98" s="206"/>
    </row>
    <row r="99" spans="2:18" ht="15" customHeight="1" x14ac:dyDescent="0.25">
      <c r="B99" s="256">
        <v>411033</v>
      </c>
      <c r="C99" s="256" t="s">
        <v>51</v>
      </c>
      <c r="D99" s="256" t="s">
        <v>79</v>
      </c>
      <c r="E99" s="7" t="s">
        <v>96</v>
      </c>
      <c r="F99" s="11" t="s">
        <v>255</v>
      </c>
      <c r="G99" s="37" t="s">
        <v>256</v>
      </c>
      <c r="H99" s="38"/>
      <c r="I99" s="187">
        <v>36</v>
      </c>
      <c r="J99" s="187">
        <v>33</v>
      </c>
      <c r="K99" s="207">
        <v>80</v>
      </c>
      <c r="L99" s="204">
        <f>+J99*K99</f>
        <v>2640</v>
      </c>
      <c r="M99" s="204"/>
      <c r="N99" s="235"/>
      <c r="O99" s="204">
        <f>L99-M99</f>
        <v>2640</v>
      </c>
      <c r="P99" s="204"/>
      <c r="Q99" s="235"/>
      <c r="R99" s="204">
        <f>L99-M99-P99</f>
        <v>2640</v>
      </c>
    </row>
    <row r="100" spans="2:18" ht="15" customHeight="1" x14ac:dyDescent="0.25">
      <c r="B100" s="257"/>
      <c r="C100" s="257"/>
      <c r="D100" s="259"/>
      <c r="E100" s="7" t="s">
        <v>97</v>
      </c>
      <c r="F100" s="11" t="s">
        <v>155</v>
      </c>
      <c r="G100" s="37" t="s">
        <v>257</v>
      </c>
      <c r="H100" s="39">
        <v>37</v>
      </c>
      <c r="I100" s="188"/>
      <c r="J100" s="188"/>
      <c r="K100" s="208"/>
      <c r="L100" s="205"/>
      <c r="M100" s="205"/>
      <c r="N100" s="236"/>
      <c r="O100" s="205"/>
      <c r="P100" s="205"/>
      <c r="Q100" s="236"/>
      <c r="R100" s="205"/>
    </row>
    <row r="101" spans="2:18" ht="15" customHeight="1" x14ac:dyDescent="0.25">
      <c r="B101" s="258"/>
      <c r="C101" s="258"/>
      <c r="D101" s="251"/>
      <c r="E101" s="7" t="s">
        <v>98</v>
      </c>
      <c r="F101" s="18" t="s">
        <v>210</v>
      </c>
      <c r="G101" s="4" t="s">
        <v>211</v>
      </c>
      <c r="H101" s="40"/>
      <c r="I101" s="189"/>
      <c r="J101" s="189"/>
      <c r="K101" s="209"/>
      <c r="L101" s="206"/>
      <c r="M101" s="206"/>
      <c r="N101" s="237"/>
      <c r="O101" s="206"/>
      <c r="P101" s="206"/>
      <c r="Q101" s="237"/>
      <c r="R101" s="206"/>
    </row>
    <row r="102" spans="2:18" ht="15" customHeight="1" x14ac:dyDescent="0.25">
      <c r="B102" s="253">
        <v>411034</v>
      </c>
      <c r="C102" s="253" t="s">
        <v>52</v>
      </c>
      <c r="D102" s="253" t="s">
        <v>142</v>
      </c>
      <c r="E102" s="17" t="s">
        <v>96</v>
      </c>
      <c r="F102" s="12" t="s">
        <v>289</v>
      </c>
      <c r="G102" s="225" t="s">
        <v>290</v>
      </c>
      <c r="H102" s="198">
        <v>20</v>
      </c>
      <c r="I102" s="195">
        <v>20</v>
      </c>
      <c r="J102" s="198">
        <v>15</v>
      </c>
      <c r="K102" s="210">
        <v>80</v>
      </c>
      <c r="L102" s="268">
        <f>+J102*K102</f>
        <v>1200</v>
      </c>
      <c r="M102" s="268"/>
      <c r="N102" s="238"/>
      <c r="O102" s="204">
        <f>L102-M102</f>
        <v>1200</v>
      </c>
      <c r="P102" s="268"/>
      <c r="Q102" s="238"/>
      <c r="R102" s="204">
        <f>L102-M102-P102</f>
        <v>1200</v>
      </c>
    </row>
    <row r="103" spans="2:18" ht="15" customHeight="1" x14ac:dyDescent="0.25">
      <c r="B103" s="254"/>
      <c r="C103" s="254"/>
      <c r="D103" s="259"/>
      <c r="E103" s="17" t="s">
        <v>97</v>
      </c>
      <c r="F103" s="12" t="s">
        <v>289</v>
      </c>
      <c r="G103" s="226"/>
      <c r="H103" s="193"/>
      <c r="I103" s="196"/>
      <c r="J103" s="193"/>
      <c r="K103" s="211"/>
      <c r="L103" s="269"/>
      <c r="M103" s="269"/>
      <c r="N103" s="239"/>
      <c r="O103" s="205"/>
      <c r="P103" s="269"/>
      <c r="Q103" s="239"/>
      <c r="R103" s="205"/>
    </row>
    <row r="104" spans="2:18" ht="15" customHeight="1" x14ac:dyDescent="0.25">
      <c r="B104" s="255"/>
      <c r="C104" s="255"/>
      <c r="D104" s="251"/>
      <c r="E104" s="17" t="s">
        <v>98</v>
      </c>
      <c r="F104" s="19" t="s">
        <v>291</v>
      </c>
      <c r="G104" s="6" t="s">
        <v>292</v>
      </c>
      <c r="H104" s="194"/>
      <c r="I104" s="197"/>
      <c r="J104" s="194"/>
      <c r="K104" s="212"/>
      <c r="L104" s="270"/>
      <c r="M104" s="270"/>
      <c r="N104" s="240"/>
      <c r="O104" s="206"/>
      <c r="P104" s="270"/>
      <c r="Q104" s="240"/>
      <c r="R104" s="206"/>
    </row>
    <row r="105" spans="2:18" ht="15" customHeight="1" x14ac:dyDescent="0.25">
      <c r="B105" s="256">
        <v>411035</v>
      </c>
      <c r="C105" s="256" t="s">
        <v>53</v>
      </c>
      <c r="D105" s="256" t="s">
        <v>80</v>
      </c>
      <c r="E105" s="7" t="s">
        <v>96</v>
      </c>
      <c r="F105" s="11" t="s">
        <v>212</v>
      </c>
      <c r="G105" s="4" t="s">
        <v>213</v>
      </c>
      <c r="H105" s="38"/>
      <c r="I105" s="38"/>
      <c r="J105" s="190">
        <v>20</v>
      </c>
      <c r="K105" s="207">
        <v>80</v>
      </c>
      <c r="L105" s="204">
        <f>+J105*K105</f>
        <v>1600</v>
      </c>
      <c r="M105" s="204"/>
      <c r="N105" s="235"/>
      <c r="O105" s="204">
        <f>L105-M105</f>
        <v>1600</v>
      </c>
      <c r="P105" s="204"/>
      <c r="Q105" s="235"/>
      <c r="R105" s="204">
        <f>L105-M105-P105</f>
        <v>1600</v>
      </c>
    </row>
    <row r="106" spans="2:18" ht="15" customHeight="1" x14ac:dyDescent="0.25">
      <c r="B106" s="257"/>
      <c r="C106" s="257"/>
      <c r="D106" s="259"/>
      <c r="E106" s="7" t="s">
        <v>97</v>
      </c>
      <c r="F106" s="18" t="s">
        <v>5</v>
      </c>
      <c r="G106" s="4" t="s">
        <v>6</v>
      </c>
      <c r="H106" s="39">
        <v>24</v>
      </c>
      <c r="I106" s="39">
        <v>20</v>
      </c>
      <c r="J106" s="191"/>
      <c r="K106" s="208"/>
      <c r="L106" s="205"/>
      <c r="M106" s="205"/>
      <c r="N106" s="236"/>
      <c r="O106" s="205"/>
      <c r="P106" s="205"/>
      <c r="Q106" s="236"/>
      <c r="R106" s="205"/>
    </row>
    <row r="107" spans="2:18" ht="15" customHeight="1" x14ac:dyDescent="0.25">
      <c r="B107" s="258"/>
      <c r="C107" s="258"/>
      <c r="D107" s="251"/>
      <c r="E107" s="7" t="s">
        <v>98</v>
      </c>
      <c r="F107" s="18" t="s">
        <v>214</v>
      </c>
      <c r="G107" s="4" t="s">
        <v>215</v>
      </c>
      <c r="H107" s="40"/>
      <c r="I107" s="40"/>
      <c r="J107" s="192"/>
      <c r="K107" s="209"/>
      <c r="L107" s="206"/>
      <c r="M107" s="206"/>
      <c r="N107" s="237"/>
      <c r="O107" s="206"/>
      <c r="P107" s="206"/>
      <c r="Q107" s="237"/>
      <c r="R107" s="206"/>
    </row>
    <row r="108" spans="2:18" ht="15" customHeight="1" x14ac:dyDescent="0.25">
      <c r="B108" s="253">
        <v>411036</v>
      </c>
      <c r="C108" s="253" t="s">
        <v>321</v>
      </c>
      <c r="D108" s="253" t="s">
        <v>322</v>
      </c>
      <c r="E108" s="17" t="s">
        <v>96</v>
      </c>
      <c r="F108" s="12"/>
      <c r="G108" s="6"/>
      <c r="H108" s="198"/>
      <c r="I108" s="198">
        <v>7</v>
      </c>
      <c r="J108" s="190">
        <v>7</v>
      </c>
      <c r="K108" s="210">
        <v>21.5</v>
      </c>
      <c r="L108" s="268">
        <f>+J108*K108</f>
        <v>150.5</v>
      </c>
      <c r="M108" s="268"/>
      <c r="N108" s="238"/>
      <c r="O108" s="204">
        <f>L108-M108</f>
        <v>150.5</v>
      </c>
      <c r="P108" s="268"/>
      <c r="Q108" s="238"/>
      <c r="R108" s="204">
        <f>L108-M108-P108</f>
        <v>150.5</v>
      </c>
    </row>
    <row r="109" spans="2:18" ht="15" customHeight="1" x14ac:dyDescent="0.25">
      <c r="B109" s="254"/>
      <c r="C109" s="254"/>
      <c r="D109" s="259"/>
      <c r="E109" s="17" t="s">
        <v>97</v>
      </c>
      <c r="F109" s="19"/>
      <c r="G109" s="3"/>
      <c r="H109" s="193"/>
      <c r="I109" s="193"/>
      <c r="J109" s="191"/>
      <c r="K109" s="211"/>
      <c r="L109" s="269"/>
      <c r="M109" s="269"/>
      <c r="N109" s="239"/>
      <c r="O109" s="205"/>
      <c r="P109" s="269"/>
      <c r="Q109" s="239"/>
      <c r="R109" s="205"/>
    </row>
    <row r="110" spans="2:18" ht="15" customHeight="1" x14ac:dyDescent="0.25">
      <c r="B110" s="255"/>
      <c r="C110" s="255"/>
      <c r="D110" s="251"/>
      <c r="E110" s="17" t="s">
        <v>98</v>
      </c>
      <c r="F110" s="19"/>
      <c r="G110" s="3"/>
      <c r="H110" s="194"/>
      <c r="I110" s="194"/>
      <c r="J110" s="192"/>
      <c r="K110" s="212"/>
      <c r="L110" s="270"/>
      <c r="M110" s="270"/>
      <c r="N110" s="240"/>
      <c r="O110" s="206"/>
      <c r="P110" s="270"/>
      <c r="Q110" s="240"/>
      <c r="R110" s="206"/>
    </row>
    <row r="111" spans="2:18" ht="15" customHeight="1" x14ac:dyDescent="0.25">
      <c r="B111" s="256">
        <v>411037</v>
      </c>
      <c r="C111" s="256" t="s">
        <v>54</v>
      </c>
      <c r="D111" s="256" t="s">
        <v>81</v>
      </c>
      <c r="E111" s="7" t="s">
        <v>96</v>
      </c>
      <c r="F111" s="11" t="s">
        <v>262</v>
      </c>
      <c r="G111" s="4" t="s">
        <v>263</v>
      </c>
      <c r="H111" s="38"/>
      <c r="I111" s="38"/>
      <c r="J111" s="190">
        <v>18</v>
      </c>
      <c r="K111" s="207">
        <v>80</v>
      </c>
      <c r="L111" s="204">
        <f>+J111*K111</f>
        <v>1440</v>
      </c>
      <c r="M111" s="204"/>
      <c r="N111" s="235"/>
      <c r="O111" s="204">
        <f>L111-M111</f>
        <v>1440</v>
      </c>
      <c r="P111" s="204"/>
      <c r="Q111" s="235"/>
      <c r="R111" s="204">
        <f>L111-M111-P111</f>
        <v>1440</v>
      </c>
    </row>
    <row r="112" spans="2:18" ht="15" customHeight="1" x14ac:dyDescent="0.25">
      <c r="B112" s="257"/>
      <c r="C112" s="257"/>
      <c r="D112" s="259"/>
      <c r="E112" s="7" t="s">
        <v>97</v>
      </c>
      <c r="F112" s="11" t="s">
        <v>7</v>
      </c>
      <c r="G112" s="4" t="s">
        <v>8</v>
      </c>
      <c r="H112" s="39">
        <v>22</v>
      </c>
      <c r="I112" s="39">
        <v>18</v>
      </c>
      <c r="J112" s="191"/>
      <c r="K112" s="208"/>
      <c r="L112" s="205"/>
      <c r="M112" s="205"/>
      <c r="N112" s="236"/>
      <c r="O112" s="205"/>
      <c r="P112" s="205"/>
      <c r="Q112" s="236"/>
      <c r="R112" s="205"/>
    </row>
    <row r="113" spans="2:18" ht="15" customHeight="1" x14ac:dyDescent="0.25">
      <c r="B113" s="258"/>
      <c r="C113" s="258"/>
      <c r="D113" s="251"/>
      <c r="E113" s="7" t="s">
        <v>98</v>
      </c>
      <c r="F113" s="11" t="s">
        <v>7</v>
      </c>
      <c r="G113" s="4" t="s">
        <v>8</v>
      </c>
      <c r="H113" s="40"/>
      <c r="I113" s="40"/>
      <c r="J113" s="192"/>
      <c r="K113" s="209"/>
      <c r="L113" s="206"/>
      <c r="M113" s="206"/>
      <c r="N113" s="237"/>
      <c r="O113" s="206"/>
      <c r="P113" s="206"/>
      <c r="Q113" s="237"/>
      <c r="R113" s="206"/>
    </row>
    <row r="114" spans="2:18" ht="15" customHeight="1" x14ac:dyDescent="0.25">
      <c r="B114" s="253">
        <v>411038</v>
      </c>
      <c r="C114" s="253" t="s">
        <v>320</v>
      </c>
      <c r="D114" s="253" t="s">
        <v>323</v>
      </c>
      <c r="E114" s="17"/>
      <c r="F114" s="12"/>
      <c r="G114" s="6"/>
      <c r="H114" s="198"/>
      <c r="I114" s="198">
        <v>9</v>
      </c>
      <c r="J114" s="198">
        <v>12</v>
      </c>
      <c r="K114" s="210">
        <v>80</v>
      </c>
      <c r="L114" s="268">
        <f>+J114*K114</f>
        <v>960</v>
      </c>
      <c r="M114" s="268"/>
      <c r="N114" s="238"/>
      <c r="O114" s="204"/>
      <c r="P114" s="268"/>
      <c r="Q114" s="238"/>
      <c r="R114" s="204">
        <f>L114-M114-P114</f>
        <v>960</v>
      </c>
    </row>
    <row r="115" spans="2:18" ht="15" customHeight="1" x14ac:dyDescent="0.25">
      <c r="B115" s="254"/>
      <c r="C115" s="254"/>
      <c r="D115" s="259"/>
      <c r="E115" s="17"/>
      <c r="F115" s="19"/>
      <c r="G115" s="225"/>
      <c r="H115" s="193"/>
      <c r="I115" s="193"/>
      <c r="J115" s="193"/>
      <c r="K115" s="211"/>
      <c r="L115" s="269"/>
      <c r="M115" s="269"/>
      <c r="N115" s="239"/>
      <c r="O115" s="205"/>
      <c r="P115" s="269"/>
      <c r="Q115" s="239"/>
      <c r="R115" s="205"/>
    </row>
    <row r="116" spans="2:18" ht="15" customHeight="1" x14ac:dyDescent="0.25">
      <c r="B116" s="255"/>
      <c r="C116" s="255"/>
      <c r="D116" s="251"/>
      <c r="E116" s="17"/>
      <c r="F116" s="19"/>
      <c r="G116" s="262"/>
      <c r="H116" s="194"/>
      <c r="I116" s="194"/>
      <c r="J116" s="194"/>
      <c r="K116" s="212"/>
      <c r="L116" s="270"/>
      <c r="M116" s="270"/>
      <c r="N116" s="240"/>
      <c r="O116" s="206"/>
      <c r="P116" s="270"/>
      <c r="Q116" s="240"/>
      <c r="R116" s="206"/>
    </row>
    <row r="117" spans="2:18" ht="15" customHeight="1" x14ac:dyDescent="0.25">
      <c r="B117" s="256">
        <v>411039</v>
      </c>
      <c r="C117" s="256" t="s">
        <v>55</v>
      </c>
      <c r="D117" s="256" t="s">
        <v>147</v>
      </c>
      <c r="E117" s="7" t="s">
        <v>96</v>
      </c>
      <c r="F117" s="18" t="s">
        <v>293</v>
      </c>
      <c r="G117" s="4" t="s">
        <v>294</v>
      </c>
      <c r="H117" s="201">
        <v>9</v>
      </c>
      <c r="I117" s="201">
        <v>10</v>
      </c>
      <c r="J117" s="201">
        <v>9</v>
      </c>
      <c r="K117" s="263">
        <v>80</v>
      </c>
      <c r="L117" s="204">
        <f>+J117*K117</f>
        <v>720</v>
      </c>
      <c r="M117" s="204"/>
      <c r="N117" s="235"/>
      <c r="O117" s="204">
        <f>L117-M117</f>
        <v>720</v>
      </c>
      <c r="P117" s="204"/>
      <c r="Q117" s="235"/>
      <c r="R117" s="204">
        <f>L117-M117-P117</f>
        <v>720</v>
      </c>
    </row>
    <row r="118" spans="2:18" ht="15" customHeight="1" x14ac:dyDescent="0.25">
      <c r="B118" s="257"/>
      <c r="C118" s="257"/>
      <c r="D118" s="259"/>
      <c r="E118" s="7" t="s">
        <v>97</v>
      </c>
      <c r="F118" s="18" t="s">
        <v>113</v>
      </c>
      <c r="G118" s="4" t="s">
        <v>114</v>
      </c>
      <c r="H118" s="202"/>
      <c r="I118" s="202"/>
      <c r="J118" s="202"/>
      <c r="K118" s="264"/>
      <c r="L118" s="205"/>
      <c r="M118" s="205"/>
      <c r="N118" s="236"/>
      <c r="O118" s="205"/>
      <c r="P118" s="205"/>
      <c r="Q118" s="236"/>
      <c r="R118" s="205"/>
    </row>
    <row r="119" spans="2:18" ht="15" customHeight="1" x14ac:dyDescent="0.25">
      <c r="B119" s="258"/>
      <c r="C119" s="258"/>
      <c r="D119" s="251"/>
      <c r="E119" s="7" t="s">
        <v>98</v>
      </c>
      <c r="F119" s="35" t="s">
        <v>295</v>
      </c>
      <c r="G119" s="34" t="s">
        <v>296</v>
      </c>
      <c r="H119" s="203"/>
      <c r="I119" s="203"/>
      <c r="J119" s="203"/>
      <c r="K119" s="265"/>
      <c r="L119" s="206"/>
      <c r="M119" s="206"/>
      <c r="N119" s="237"/>
      <c r="O119" s="206"/>
      <c r="P119" s="206"/>
      <c r="Q119" s="237"/>
      <c r="R119" s="206"/>
    </row>
    <row r="120" spans="2:18" ht="15" customHeight="1" x14ac:dyDescent="0.25">
      <c r="B120" s="253">
        <v>411040</v>
      </c>
      <c r="C120" s="253" t="s">
        <v>146</v>
      </c>
      <c r="D120" s="253" t="s">
        <v>311</v>
      </c>
      <c r="E120" s="17" t="s">
        <v>96</v>
      </c>
      <c r="F120" s="12" t="s">
        <v>9</v>
      </c>
      <c r="G120" s="6" t="s">
        <v>10</v>
      </c>
      <c r="H120" s="198">
        <v>12</v>
      </c>
      <c r="I120" s="195">
        <v>12</v>
      </c>
      <c r="J120" s="190">
        <v>12</v>
      </c>
      <c r="K120" s="210">
        <v>21.5</v>
      </c>
      <c r="L120" s="268">
        <f>+J120*K120</f>
        <v>258</v>
      </c>
      <c r="M120" s="268"/>
      <c r="N120" s="238"/>
      <c r="O120" s="204">
        <f>L120-M120</f>
        <v>258</v>
      </c>
      <c r="P120" s="268"/>
      <c r="Q120" s="238"/>
      <c r="R120" s="204">
        <f>L120-M120-P120</f>
        <v>258</v>
      </c>
    </row>
    <row r="121" spans="2:18" ht="15" customHeight="1" x14ac:dyDescent="0.25">
      <c r="B121" s="254"/>
      <c r="C121" s="254"/>
      <c r="D121" s="259"/>
      <c r="E121" s="17" t="s">
        <v>97</v>
      </c>
      <c r="F121" s="19"/>
      <c r="G121" s="3"/>
      <c r="H121" s="193"/>
      <c r="I121" s="196"/>
      <c r="J121" s="191"/>
      <c r="K121" s="211"/>
      <c r="L121" s="269"/>
      <c r="M121" s="269"/>
      <c r="N121" s="239"/>
      <c r="O121" s="205"/>
      <c r="P121" s="269"/>
      <c r="Q121" s="239"/>
      <c r="R121" s="205"/>
    </row>
    <row r="122" spans="2:18" ht="15" customHeight="1" x14ac:dyDescent="0.25">
      <c r="B122" s="255"/>
      <c r="C122" s="255"/>
      <c r="D122" s="251"/>
      <c r="E122" s="17" t="s">
        <v>98</v>
      </c>
      <c r="F122" s="19"/>
      <c r="G122" s="3"/>
      <c r="H122" s="194"/>
      <c r="I122" s="197"/>
      <c r="J122" s="192"/>
      <c r="K122" s="212"/>
      <c r="L122" s="270"/>
      <c r="M122" s="270"/>
      <c r="N122" s="240"/>
      <c r="O122" s="206"/>
      <c r="P122" s="270"/>
      <c r="Q122" s="240"/>
      <c r="R122" s="206"/>
    </row>
    <row r="123" spans="2:18" ht="15" customHeight="1" x14ac:dyDescent="0.25">
      <c r="B123" s="256">
        <v>411041</v>
      </c>
      <c r="C123" s="256" t="s">
        <v>56</v>
      </c>
      <c r="D123" s="256" t="s">
        <v>310</v>
      </c>
      <c r="E123" s="7" t="s">
        <v>96</v>
      </c>
      <c r="F123" s="11" t="s">
        <v>11</v>
      </c>
      <c r="G123" s="4" t="s">
        <v>10</v>
      </c>
      <c r="H123" s="38"/>
      <c r="I123" s="38"/>
      <c r="J123" s="190">
        <v>16</v>
      </c>
      <c r="K123" s="207">
        <v>21.5</v>
      </c>
      <c r="L123" s="204">
        <f>+J123*K123</f>
        <v>344</v>
      </c>
      <c r="M123" s="204"/>
      <c r="N123" s="235"/>
      <c r="O123" s="204">
        <f>L123-M123</f>
        <v>344</v>
      </c>
      <c r="P123" s="204"/>
      <c r="Q123" s="235"/>
      <c r="R123" s="204">
        <f>L123-M123-P123</f>
        <v>344</v>
      </c>
    </row>
    <row r="124" spans="2:18" ht="15" customHeight="1" x14ac:dyDescent="0.25">
      <c r="B124" s="257"/>
      <c r="C124" s="257"/>
      <c r="D124" s="259"/>
      <c r="E124" s="7" t="s">
        <v>97</v>
      </c>
      <c r="F124" s="18"/>
      <c r="G124" s="2"/>
      <c r="H124" s="39">
        <v>16</v>
      </c>
      <c r="I124" s="39">
        <v>16</v>
      </c>
      <c r="J124" s="191"/>
      <c r="K124" s="208"/>
      <c r="L124" s="205"/>
      <c r="M124" s="205"/>
      <c r="N124" s="236"/>
      <c r="O124" s="205"/>
      <c r="P124" s="205"/>
      <c r="Q124" s="236"/>
      <c r="R124" s="205"/>
    </row>
    <row r="125" spans="2:18" ht="15" customHeight="1" x14ac:dyDescent="0.25">
      <c r="B125" s="258"/>
      <c r="C125" s="258"/>
      <c r="D125" s="251"/>
      <c r="E125" s="7" t="s">
        <v>98</v>
      </c>
      <c r="F125" s="18" t="s">
        <v>304</v>
      </c>
      <c r="G125" s="4" t="s">
        <v>307</v>
      </c>
      <c r="H125" s="40"/>
      <c r="I125" s="40"/>
      <c r="J125" s="192"/>
      <c r="K125" s="209"/>
      <c r="L125" s="206"/>
      <c r="M125" s="206"/>
      <c r="N125" s="237"/>
      <c r="O125" s="206"/>
      <c r="P125" s="206"/>
      <c r="Q125" s="237"/>
      <c r="R125" s="206"/>
    </row>
    <row r="126" spans="2:18" ht="15" customHeight="1" x14ac:dyDescent="0.25">
      <c r="B126" s="253">
        <v>411042</v>
      </c>
      <c r="C126" s="253" t="s">
        <v>57</v>
      </c>
      <c r="D126" s="253" t="s">
        <v>297</v>
      </c>
      <c r="E126" s="17" t="s">
        <v>96</v>
      </c>
      <c r="F126" s="12" t="s">
        <v>216</v>
      </c>
      <c r="G126" s="6" t="s">
        <v>217</v>
      </c>
      <c r="H126" s="198">
        <v>24</v>
      </c>
      <c r="I126" s="198">
        <v>24</v>
      </c>
      <c r="J126" s="198">
        <v>23</v>
      </c>
      <c r="K126" s="210">
        <v>21.5</v>
      </c>
      <c r="L126" s="268">
        <f>+J126*K126</f>
        <v>494.5</v>
      </c>
      <c r="M126" s="268"/>
      <c r="N126" s="238"/>
      <c r="O126" s="204">
        <f>L126-M126</f>
        <v>494.5</v>
      </c>
      <c r="P126" s="268"/>
      <c r="Q126" s="238"/>
      <c r="R126" s="204">
        <f>L126-M126-P126</f>
        <v>494.5</v>
      </c>
    </row>
    <row r="127" spans="2:18" ht="15" customHeight="1" x14ac:dyDescent="0.25">
      <c r="B127" s="254"/>
      <c r="C127" s="254"/>
      <c r="D127" s="259"/>
      <c r="E127" s="17" t="s">
        <v>97</v>
      </c>
      <c r="F127" s="19" t="s">
        <v>20</v>
      </c>
      <c r="G127" s="6" t="s">
        <v>12</v>
      </c>
      <c r="H127" s="193"/>
      <c r="I127" s="193"/>
      <c r="J127" s="193"/>
      <c r="K127" s="211"/>
      <c r="L127" s="269"/>
      <c r="M127" s="269"/>
      <c r="N127" s="239"/>
      <c r="O127" s="205"/>
      <c r="P127" s="269"/>
      <c r="Q127" s="239"/>
      <c r="R127" s="205"/>
    </row>
    <row r="128" spans="2:18" ht="15" customHeight="1" x14ac:dyDescent="0.25">
      <c r="B128" s="255"/>
      <c r="C128" s="255"/>
      <c r="D128" s="251"/>
      <c r="E128" s="17" t="s">
        <v>98</v>
      </c>
      <c r="F128" s="19" t="s">
        <v>137</v>
      </c>
      <c r="G128" s="6" t="s">
        <v>138</v>
      </c>
      <c r="H128" s="194"/>
      <c r="I128" s="194"/>
      <c r="J128" s="194"/>
      <c r="K128" s="212"/>
      <c r="L128" s="270"/>
      <c r="M128" s="270"/>
      <c r="N128" s="240"/>
      <c r="O128" s="206"/>
      <c r="P128" s="270"/>
      <c r="Q128" s="240"/>
      <c r="R128" s="206"/>
    </row>
    <row r="129" spans="2:19" ht="15" customHeight="1" x14ac:dyDescent="0.25">
      <c r="B129" s="256">
        <v>411043</v>
      </c>
      <c r="C129" s="256" t="s">
        <v>58</v>
      </c>
      <c r="D129" s="256" t="s">
        <v>22</v>
      </c>
      <c r="E129" s="7" t="s">
        <v>96</v>
      </c>
      <c r="F129" s="11" t="s">
        <v>166</v>
      </c>
      <c r="G129" s="4" t="s">
        <v>167</v>
      </c>
      <c r="H129" s="38"/>
      <c r="I129" s="195">
        <v>14</v>
      </c>
      <c r="J129" s="190">
        <v>14</v>
      </c>
      <c r="K129" s="207">
        <v>21.5</v>
      </c>
      <c r="L129" s="204">
        <f>+J129*K129</f>
        <v>301</v>
      </c>
      <c r="M129" s="204"/>
      <c r="N129" s="235"/>
      <c r="O129" s="204">
        <f>L129-M129</f>
        <v>301</v>
      </c>
      <c r="P129" s="204"/>
      <c r="Q129" s="235"/>
      <c r="R129" s="204">
        <f>L129-M129-P129</f>
        <v>301</v>
      </c>
    </row>
    <row r="130" spans="2:19" ht="15" customHeight="1" x14ac:dyDescent="0.25">
      <c r="B130" s="257"/>
      <c r="C130" s="257"/>
      <c r="D130" s="259"/>
      <c r="E130" s="7" t="s">
        <v>97</v>
      </c>
      <c r="F130" s="11" t="s">
        <v>20</v>
      </c>
      <c r="G130" s="28" t="s">
        <v>12</v>
      </c>
      <c r="H130" s="39">
        <v>14</v>
      </c>
      <c r="I130" s="196"/>
      <c r="J130" s="191"/>
      <c r="K130" s="208"/>
      <c r="L130" s="205"/>
      <c r="M130" s="205"/>
      <c r="N130" s="236"/>
      <c r="O130" s="205"/>
      <c r="P130" s="205"/>
      <c r="Q130" s="236"/>
      <c r="R130" s="205"/>
    </row>
    <row r="131" spans="2:19" ht="15" customHeight="1" x14ac:dyDescent="0.25">
      <c r="B131" s="258"/>
      <c r="C131" s="258"/>
      <c r="D131" s="251"/>
      <c r="E131" s="7" t="s">
        <v>98</v>
      </c>
      <c r="F131" s="18"/>
      <c r="G131" s="28"/>
      <c r="H131" s="40"/>
      <c r="I131" s="197"/>
      <c r="J131" s="192"/>
      <c r="K131" s="209"/>
      <c r="L131" s="206"/>
      <c r="M131" s="206"/>
      <c r="N131" s="237"/>
      <c r="O131" s="206"/>
      <c r="P131" s="206"/>
      <c r="Q131" s="237"/>
      <c r="R131" s="206"/>
    </row>
    <row r="132" spans="2:19" ht="15" customHeight="1" x14ac:dyDescent="0.25">
      <c r="B132" s="253">
        <v>411044</v>
      </c>
      <c r="C132" s="253" t="s">
        <v>86</v>
      </c>
      <c r="D132" s="253" t="s">
        <v>87</v>
      </c>
      <c r="E132" s="17" t="s">
        <v>96</v>
      </c>
      <c r="F132" s="13" t="s">
        <v>160</v>
      </c>
      <c r="G132" s="8" t="s">
        <v>161</v>
      </c>
      <c r="H132" s="198">
        <v>72</v>
      </c>
      <c r="I132" s="198">
        <v>75</v>
      </c>
      <c r="J132" s="198">
        <v>75</v>
      </c>
      <c r="K132" s="210">
        <v>2.7</v>
      </c>
      <c r="L132" s="268">
        <f>+J132*K132</f>
        <v>202.5</v>
      </c>
      <c r="M132" s="268"/>
      <c r="N132" s="238"/>
      <c r="O132" s="204">
        <f>L132-M132</f>
        <v>202.5</v>
      </c>
      <c r="P132" s="268"/>
      <c r="Q132" s="238"/>
      <c r="R132" s="204">
        <f>L132-M132-P132</f>
        <v>202.5</v>
      </c>
    </row>
    <row r="133" spans="2:19" ht="15" customHeight="1" x14ac:dyDescent="0.25">
      <c r="B133" s="254"/>
      <c r="C133" s="254"/>
      <c r="D133" s="259"/>
      <c r="E133" s="17" t="s">
        <v>97</v>
      </c>
      <c r="F133" s="19" t="s">
        <v>157</v>
      </c>
      <c r="G133" s="8" t="s">
        <v>159</v>
      </c>
      <c r="H133" s="193"/>
      <c r="I133" s="193"/>
      <c r="J133" s="193"/>
      <c r="K133" s="211"/>
      <c r="L133" s="269"/>
      <c r="M133" s="269"/>
      <c r="N133" s="239"/>
      <c r="O133" s="205"/>
      <c r="P133" s="269"/>
      <c r="Q133" s="239"/>
      <c r="R133" s="205"/>
    </row>
    <row r="134" spans="2:19" ht="15" customHeight="1" x14ac:dyDescent="0.25">
      <c r="B134" s="255"/>
      <c r="C134" s="255"/>
      <c r="D134" s="251"/>
      <c r="E134" s="17" t="s">
        <v>98</v>
      </c>
      <c r="F134" s="19" t="s">
        <v>298</v>
      </c>
      <c r="G134" s="8" t="s">
        <v>299</v>
      </c>
      <c r="H134" s="194"/>
      <c r="I134" s="194"/>
      <c r="J134" s="194"/>
      <c r="K134" s="212"/>
      <c r="L134" s="270"/>
      <c r="M134" s="270"/>
      <c r="N134" s="240"/>
      <c r="O134" s="206"/>
      <c r="P134" s="270"/>
      <c r="Q134" s="240"/>
      <c r="R134" s="206"/>
    </row>
    <row r="135" spans="2:19" ht="15" customHeight="1" x14ac:dyDescent="0.25">
      <c r="B135" s="256">
        <v>411045</v>
      </c>
      <c r="C135" s="256" t="s">
        <v>59</v>
      </c>
      <c r="D135" s="256" t="s">
        <v>300</v>
      </c>
      <c r="E135" s="7" t="s">
        <v>96</v>
      </c>
      <c r="F135" s="18" t="s">
        <v>218</v>
      </c>
      <c r="G135" s="10" t="s">
        <v>219</v>
      </c>
      <c r="H135" s="38"/>
      <c r="I135" s="195">
        <v>31</v>
      </c>
      <c r="J135" s="190">
        <v>31</v>
      </c>
      <c r="K135" s="207">
        <v>2.7</v>
      </c>
      <c r="L135" s="204">
        <f>+J135*K135</f>
        <v>83.7</v>
      </c>
      <c r="M135" s="204"/>
      <c r="N135" s="235"/>
      <c r="O135" s="204">
        <f>L135-M135</f>
        <v>83.7</v>
      </c>
      <c r="P135" s="204"/>
      <c r="Q135" s="235"/>
      <c r="R135" s="204">
        <f>L135-M135-P135</f>
        <v>83.7</v>
      </c>
    </row>
    <row r="136" spans="2:19" ht="15" customHeight="1" x14ac:dyDescent="0.25">
      <c r="B136" s="257"/>
      <c r="C136" s="257"/>
      <c r="D136" s="259"/>
      <c r="E136" s="7" t="s">
        <v>97</v>
      </c>
      <c r="F136" s="18" t="s">
        <v>220</v>
      </c>
      <c r="G136" s="10" t="s">
        <v>221</v>
      </c>
      <c r="H136" s="39">
        <v>31</v>
      </c>
      <c r="I136" s="196"/>
      <c r="J136" s="191"/>
      <c r="K136" s="208"/>
      <c r="L136" s="205"/>
      <c r="M136" s="205"/>
      <c r="N136" s="236"/>
      <c r="O136" s="205"/>
      <c r="P136" s="205"/>
      <c r="Q136" s="236"/>
      <c r="R136" s="205"/>
    </row>
    <row r="137" spans="2:19" ht="15" customHeight="1" x14ac:dyDescent="0.25">
      <c r="B137" s="258"/>
      <c r="C137" s="258"/>
      <c r="D137" s="251"/>
      <c r="E137" s="7" t="s">
        <v>98</v>
      </c>
      <c r="F137" s="18" t="s">
        <v>125</v>
      </c>
      <c r="G137" s="10" t="s">
        <v>302</v>
      </c>
      <c r="H137" s="40"/>
      <c r="I137" s="197"/>
      <c r="J137" s="192"/>
      <c r="K137" s="209"/>
      <c r="L137" s="206"/>
      <c r="M137" s="206"/>
      <c r="N137" s="237"/>
      <c r="O137" s="206"/>
      <c r="P137" s="206"/>
      <c r="Q137" s="237"/>
      <c r="R137" s="206"/>
    </row>
    <row r="138" spans="2:19" ht="15" customHeight="1" x14ac:dyDescent="0.25">
      <c r="B138" s="253">
        <v>411046</v>
      </c>
      <c r="C138" s="253" t="s">
        <v>60</v>
      </c>
      <c r="D138" s="253" t="s">
        <v>222</v>
      </c>
      <c r="E138" s="17" t="s">
        <v>96</v>
      </c>
      <c r="F138" s="13" t="s">
        <v>4</v>
      </c>
      <c r="G138" s="8" t="s">
        <v>223</v>
      </c>
      <c r="H138" s="198">
        <v>11</v>
      </c>
      <c r="I138" s="195">
        <v>11</v>
      </c>
      <c r="J138" s="198">
        <v>15</v>
      </c>
      <c r="K138" s="210">
        <v>21.5</v>
      </c>
      <c r="L138" s="268">
        <f>+J138*K138</f>
        <v>322.5</v>
      </c>
      <c r="M138" s="268"/>
      <c r="N138" s="238"/>
      <c r="O138" s="204">
        <f>L138-M138</f>
        <v>322.5</v>
      </c>
      <c r="P138" s="268"/>
      <c r="Q138" s="238"/>
      <c r="R138" s="204">
        <f>L138-M138-P138</f>
        <v>322.5</v>
      </c>
    </row>
    <row r="139" spans="2:19" ht="15" customHeight="1" x14ac:dyDescent="0.25">
      <c r="B139" s="254"/>
      <c r="C139" s="254"/>
      <c r="D139" s="259"/>
      <c r="E139" s="17" t="s">
        <v>97</v>
      </c>
      <c r="F139" s="19" t="s">
        <v>272</v>
      </c>
      <c r="G139" s="8" t="s">
        <v>273</v>
      </c>
      <c r="H139" s="193"/>
      <c r="I139" s="196"/>
      <c r="J139" s="193"/>
      <c r="K139" s="211"/>
      <c r="L139" s="269"/>
      <c r="M139" s="269"/>
      <c r="N139" s="239"/>
      <c r="O139" s="205"/>
      <c r="P139" s="269"/>
      <c r="Q139" s="239"/>
      <c r="R139" s="205"/>
    </row>
    <row r="140" spans="2:19" ht="15" customHeight="1" x14ac:dyDescent="0.25">
      <c r="B140" s="255"/>
      <c r="C140" s="255"/>
      <c r="D140" s="251"/>
      <c r="E140" s="17" t="s">
        <v>98</v>
      </c>
      <c r="F140" s="19" t="s">
        <v>274</v>
      </c>
      <c r="G140" s="8" t="s">
        <v>275</v>
      </c>
      <c r="H140" s="194"/>
      <c r="I140" s="197"/>
      <c r="J140" s="194"/>
      <c r="K140" s="212"/>
      <c r="L140" s="270"/>
      <c r="M140" s="270"/>
      <c r="N140" s="240"/>
      <c r="O140" s="206"/>
      <c r="P140" s="270"/>
      <c r="Q140" s="240"/>
      <c r="R140" s="206"/>
    </row>
    <row r="141" spans="2:19" ht="15" customHeight="1" x14ac:dyDescent="0.25">
      <c r="B141" s="244">
        <v>411047</v>
      </c>
      <c r="C141" s="244" t="s">
        <v>224</v>
      </c>
      <c r="D141" s="256" t="s">
        <v>99</v>
      </c>
      <c r="E141" s="7" t="s">
        <v>96</v>
      </c>
      <c r="F141" s="18" t="s">
        <v>129</v>
      </c>
      <c r="G141" s="10" t="s">
        <v>130</v>
      </c>
      <c r="H141" s="38"/>
      <c r="I141" s="195">
        <v>9</v>
      </c>
      <c r="J141" s="190">
        <v>9</v>
      </c>
      <c r="K141" s="207">
        <v>21.5</v>
      </c>
      <c r="L141" s="204">
        <f>+J141*K141</f>
        <v>193.5</v>
      </c>
      <c r="M141" s="204"/>
      <c r="N141" s="235"/>
      <c r="O141" s="204">
        <f>L141-M141</f>
        <v>193.5</v>
      </c>
      <c r="P141" s="204"/>
      <c r="Q141" s="235"/>
      <c r="R141" s="204">
        <f>L141-M141-P141</f>
        <v>193.5</v>
      </c>
      <c r="S141" s="21"/>
    </row>
    <row r="142" spans="2:19" ht="15" customHeight="1" x14ac:dyDescent="0.25">
      <c r="B142" s="245"/>
      <c r="C142" s="245"/>
      <c r="D142" s="260"/>
      <c r="E142" s="7" t="s">
        <v>97</v>
      </c>
      <c r="F142" s="18" t="s">
        <v>129</v>
      </c>
      <c r="G142" s="10" t="s">
        <v>198</v>
      </c>
      <c r="H142" s="39">
        <v>12</v>
      </c>
      <c r="I142" s="196"/>
      <c r="J142" s="191"/>
      <c r="K142" s="208"/>
      <c r="L142" s="205"/>
      <c r="M142" s="205"/>
      <c r="N142" s="236"/>
      <c r="O142" s="205"/>
      <c r="P142" s="205"/>
      <c r="Q142" s="236"/>
      <c r="R142" s="205"/>
      <c r="S142" s="21"/>
    </row>
    <row r="143" spans="2:19" ht="15" customHeight="1" x14ac:dyDescent="0.25">
      <c r="B143" s="246"/>
      <c r="C143" s="246"/>
      <c r="D143" s="261"/>
      <c r="E143" s="7" t="s">
        <v>98</v>
      </c>
      <c r="F143" s="18" t="s">
        <v>169</v>
      </c>
      <c r="G143" s="10" t="s">
        <v>193</v>
      </c>
      <c r="H143" s="40"/>
      <c r="I143" s="197"/>
      <c r="J143" s="192"/>
      <c r="K143" s="209"/>
      <c r="L143" s="206"/>
      <c r="M143" s="206"/>
      <c r="N143" s="237"/>
      <c r="O143" s="206"/>
      <c r="P143" s="206"/>
      <c r="Q143" s="237"/>
      <c r="R143" s="206"/>
      <c r="S143" s="21"/>
    </row>
    <row r="144" spans="2:19" ht="15" customHeight="1" x14ac:dyDescent="0.25">
      <c r="B144" s="252">
        <v>411048</v>
      </c>
      <c r="C144" s="252" t="s">
        <v>312</v>
      </c>
      <c r="D144" s="252"/>
      <c r="E144" s="17" t="s">
        <v>96</v>
      </c>
      <c r="F144" s="19"/>
      <c r="G144" s="8"/>
      <c r="H144" s="198"/>
      <c r="I144" s="198"/>
      <c r="J144" s="198"/>
      <c r="K144" s="210"/>
      <c r="L144" s="241"/>
      <c r="M144" s="241"/>
      <c r="N144" s="238"/>
      <c r="O144" s="204">
        <f>L144-M144</f>
        <v>0</v>
      </c>
      <c r="P144" s="268"/>
      <c r="Q144" s="238"/>
      <c r="R144" s="204">
        <f>L144-M144-P144</f>
        <v>0</v>
      </c>
      <c r="S144" s="21"/>
    </row>
    <row r="145" spans="1:19" ht="15" customHeight="1" x14ac:dyDescent="0.25">
      <c r="B145" s="248"/>
      <c r="C145" s="248"/>
      <c r="D145" s="285"/>
      <c r="E145" s="17" t="s">
        <v>97</v>
      </c>
      <c r="F145" s="19"/>
      <c r="G145" s="8"/>
      <c r="H145" s="193"/>
      <c r="I145" s="193"/>
      <c r="J145" s="193"/>
      <c r="K145" s="211"/>
      <c r="L145" s="242"/>
      <c r="M145" s="242"/>
      <c r="N145" s="239"/>
      <c r="O145" s="205"/>
      <c r="P145" s="269"/>
      <c r="Q145" s="239"/>
      <c r="R145" s="205"/>
      <c r="S145" s="21"/>
    </row>
    <row r="146" spans="1:19" ht="15" customHeight="1" x14ac:dyDescent="0.25">
      <c r="B146" s="249"/>
      <c r="C146" s="249"/>
      <c r="D146" s="286"/>
      <c r="E146" s="17" t="s">
        <v>98</v>
      </c>
      <c r="F146" s="19"/>
      <c r="G146" s="22"/>
      <c r="H146" s="194"/>
      <c r="I146" s="194"/>
      <c r="J146" s="194"/>
      <c r="K146" s="212"/>
      <c r="L146" s="243"/>
      <c r="M146" s="243"/>
      <c r="N146" s="240"/>
      <c r="O146" s="206"/>
      <c r="P146" s="270"/>
      <c r="Q146" s="240"/>
      <c r="R146" s="206"/>
      <c r="S146" s="21"/>
    </row>
    <row r="147" spans="1:19" ht="15" customHeight="1" x14ac:dyDescent="0.25">
      <c r="B147" s="244">
        <v>411049</v>
      </c>
      <c r="C147" s="244" t="s">
        <v>225</v>
      </c>
      <c r="D147" s="244" t="s">
        <v>22</v>
      </c>
      <c r="E147" s="7" t="s">
        <v>96</v>
      </c>
      <c r="F147" s="18" t="s">
        <v>271</v>
      </c>
      <c r="G147" s="227" t="s">
        <v>301</v>
      </c>
      <c r="H147" s="38"/>
      <c r="I147" s="38"/>
      <c r="J147" s="190">
        <v>14</v>
      </c>
      <c r="K147" s="207">
        <v>80</v>
      </c>
      <c r="L147" s="216">
        <f>+J147*K147</f>
        <v>1120</v>
      </c>
      <c r="M147" s="216"/>
      <c r="N147" s="219"/>
      <c r="O147" s="204">
        <f>L147-M147</f>
        <v>1120</v>
      </c>
      <c r="P147" s="229"/>
      <c r="Q147" s="219"/>
      <c r="R147" s="204">
        <f>L147-M147-P147</f>
        <v>1120</v>
      </c>
      <c r="S147" s="21"/>
    </row>
    <row r="148" spans="1:19" ht="15" customHeight="1" x14ac:dyDescent="0.25">
      <c r="B148" s="245"/>
      <c r="C148" s="245"/>
      <c r="D148" s="245"/>
      <c r="E148" s="7" t="s">
        <v>97</v>
      </c>
      <c r="F148" s="18" t="s">
        <v>271</v>
      </c>
      <c r="G148" s="228"/>
      <c r="H148" s="39">
        <v>13</v>
      </c>
      <c r="I148" s="39">
        <v>14</v>
      </c>
      <c r="J148" s="191"/>
      <c r="K148" s="208"/>
      <c r="L148" s="217"/>
      <c r="M148" s="217"/>
      <c r="N148" s="220"/>
      <c r="O148" s="205"/>
      <c r="P148" s="230"/>
      <c r="Q148" s="220"/>
      <c r="R148" s="205"/>
      <c r="S148" s="21"/>
    </row>
    <row r="149" spans="1:19" ht="15" customHeight="1" x14ac:dyDescent="0.25">
      <c r="B149" s="246"/>
      <c r="C149" s="246"/>
      <c r="D149" s="246"/>
      <c r="E149" s="7" t="s">
        <v>98</v>
      </c>
      <c r="F149" s="18" t="s">
        <v>135</v>
      </c>
      <c r="G149" s="10" t="s">
        <v>136</v>
      </c>
      <c r="H149" s="40"/>
      <c r="I149" s="40"/>
      <c r="J149" s="192"/>
      <c r="K149" s="209"/>
      <c r="L149" s="218"/>
      <c r="M149" s="218"/>
      <c r="N149" s="221"/>
      <c r="O149" s="206"/>
      <c r="P149" s="231"/>
      <c r="Q149" s="221"/>
      <c r="R149" s="206"/>
      <c r="S149" s="21"/>
    </row>
    <row r="150" spans="1:19" ht="15" customHeight="1" x14ac:dyDescent="0.25">
      <c r="B150" s="252">
        <v>411050</v>
      </c>
      <c r="C150" s="252" t="s">
        <v>226</v>
      </c>
      <c r="D150" s="247" t="s">
        <v>318</v>
      </c>
      <c r="E150" s="17" t="s">
        <v>96</v>
      </c>
      <c r="F150" s="19" t="s">
        <v>229</v>
      </c>
      <c r="G150" s="250" t="s">
        <v>230</v>
      </c>
      <c r="H150" s="198">
        <v>14</v>
      </c>
      <c r="I150" s="198"/>
      <c r="J150" s="198"/>
      <c r="K150" s="210">
        <v>0</v>
      </c>
      <c r="L150" s="213">
        <f>+J150*K150</f>
        <v>0</v>
      </c>
      <c r="M150" s="213"/>
      <c r="N150" s="232"/>
      <c r="O150" s="204">
        <f>L150-M150</f>
        <v>0</v>
      </c>
      <c r="P150" s="213"/>
      <c r="Q150" s="222"/>
      <c r="R150" s="204">
        <f>L150-M150-P150</f>
        <v>0</v>
      </c>
      <c r="S150" s="21"/>
    </row>
    <row r="151" spans="1:19" ht="15" customHeight="1" x14ac:dyDescent="0.25">
      <c r="B151" s="248"/>
      <c r="C151" s="248"/>
      <c r="D151" s="248"/>
      <c r="E151" s="17" t="s">
        <v>97</v>
      </c>
      <c r="F151" s="19" t="s">
        <v>229</v>
      </c>
      <c r="G151" s="251"/>
      <c r="H151" s="193"/>
      <c r="I151" s="193"/>
      <c r="J151" s="193"/>
      <c r="K151" s="211"/>
      <c r="L151" s="214"/>
      <c r="M151" s="214"/>
      <c r="N151" s="233"/>
      <c r="O151" s="205"/>
      <c r="P151" s="214"/>
      <c r="Q151" s="223"/>
      <c r="R151" s="205"/>
      <c r="S151" s="21"/>
    </row>
    <row r="152" spans="1:19" ht="15" customHeight="1" x14ac:dyDescent="0.25">
      <c r="B152" s="249"/>
      <c r="C152" s="249"/>
      <c r="D152" s="249"/>
      <c r="E152" s="17" t="s">
        <v>98</v>
      </c>
      <c r="F152" s="19" t="s">
        <v>227</v>
      </c>
      <c r="G152" s="8" t="s">
        <v>228</v>
      </c>
      <c r="H152" s="194"/>
      <c r="I152" s="194"/>
      <c r="J152" s="194"/>
      <c r="K152" s="212"/>
      <c r="L152" s="215"/>
      <c r="M152" s="215"/>
      <c r="N152" s="234"/>
      <c r="O152" s="206"/>
      <c r="P152" s="215"/>
      <c r="Q152" s="224"/>
      <c r="R152" s="206"/>
      <c r="S152" s="21"/>
    </row>
    <row r="153" spans="1:19" ht="15" customHeight="1" x14ac:dyDescent="0.25">
      <c r="B153" s="244">
        <v>411051</v>
      </c>
      <c r="C153" s="244" t="s">
        <v>258</v>
      </c>
      <c r="D153" s="244" t="s">
        <v>259</v>
      </c>
      <c r="E153" s="7" t="s">
        <v>96</v>
      </c>
      <c r="F153" s="18" t="s">
        <v>157</v>
      </c>
      <c r="G153" s="10" t="s">
        <v>191</v>
      </c>
      <c r="H153" s="187">
        <v>21</v>
      </c>
      <c r="I153" s="195">
        <v>21</v>
      </c>
      <c r="J153" s="190">
        <v>21</v>
      </c>
      <c r="K153" s="207">
        <v>2.7</v>
      </c>
      <c r="L153" s="216">
        <f>+J153*K153</f>
        <v>56.7</v>
      </c>
      <c r="M153" s="216"/>
      <c r="N153" s="219"/>
      <c r="O153" s="204">
        <f>L153-M153</f>
        <v>56.7</v>
      </c>
      <c r="P153" s="216"/>
      <c r="Q153" s="287"/>
      <c r="R153" s="204">
        <f>L153-M153-P153</f>
        <v>56.7</v>
      </c>
      <c r="S153" s="21"/>
    </row>
    <row r="154" spans="1:19" ht="15" customHeight="1" x14ac:dyDescent="0.25">
      <c r="B154" s="245"/>
      <c r="C154" s="245"/>
      <c r="D154" s="290"/>
      <c r="E154" s="7" t="s">
        <v>97</v>
      </c>
      <c r="F154" s="18" t="s">
        <v>157</v>
      </c>
      <c r="G154" s="10" t="s">
        <v>191</v>
      </c>
      <c r="H154" s="188"/>
      <c r="I154" s="196"/>
      <c r="J154" s="191"/>
      <c r="K154" s="208"/>
      <c r="L154" s="217"/>
      <c r="M154" s="217"/>
      <c r="N154" s="220"/>
      <c r="O154" s="205"/>
      <c r="P154" s="217"/>
      <c r="Q154" s="288"/>
      <c r="R154" s="205"/>
      <c r="S154" s="21"/>
    </row>
    <row r="155" spans="1:19" ht="15" customHeight="1" x14ac:dyDescent="0.25">
      <c r="B155" s="246"/>
      <c r="C155" s="246"/>
      <c r="D155" s="291"/>
      <c r="E155" s="7" t="s">
        <v>98</v>
      </c>
      <c r="F155" s="18" t="s">
        <v>260</v>
      </c>
      <c r="G155" s="10" t="s">
        <v>261</v>
      </c>
      <c r="H155" s="189"/>
      <c r="I155" s="197"/>
      <c r="J155" s="192"/>
      <c r="K155" s="209"/>
      <c r="L155" s="218"/>
      <c r="M155" s="218"/>
      <c r="N155" s="221"/>
      <c r="O155" s="206"/>
      <c r="P155" s="218"/>
      <c r="Q155" s="289"/>
      <c r="R155" s="206"/>
      <c r="S155" s="21"/>
    </row>
    <row r="156" spans="1:19" ht="31.5" customHeight="1" x14ac:dyDescent="0.25">
      <c r="A156" s="33"/>
      <c r="B156" s="23"/>
      <c r="C156" s="24"/>
      <c r="D156" s="24"/>
      <c r="E156" s="25"/>
      <c r="F156" s="31"/>
      <c r="G156" s="26"/>
      <c r="H156" s="33">
        <f>SUM(H3:H155)</f>
        <v>1408</v>
      </c>
      <c r="I156" s="33">
        <f>SUM(I3:I155)</f>
        <v>1402</v>
      </c>
      <c r="J156" s="33">
        <f>SUM(J3:J155)</f>
        <v>1369</v>
      </c>
      <c r="K156" s="33"/>
      <c r="L156" s="44">
        <f>SUM(L3:L155)</f>
        <v>74138.399999999994</v>
      </c>
      <c r="M156" s="44">
        <f t="shared" ref="M156:R156" si="0">SUM(M3:M155)</f>
        <v>0</v>
      </c>
      <c r="N156" s="33"/>
      <c r="O156" s="33"/>
      <c r="P156" s="44">
        <f t="shared" si="0"/>
        <v>0</v>
      </c>
      <c r="Q156" s="33"/>
      <c r="R156" s="44">
        <f t="shared" si="0"/>
        <v>74138.399999999994</v>
      </c>
      <c r="S156" s="21"/>
    </row>
    <row r="157" spans="1:19" ht="15" customHeight="1" x14ac:dyDescent="0.25">
      <c r="E157" s="50"/>
    </row>
    <row r="158" spans="1:19" ht="15" customHeight="1" x14ac:dyDescent="0.25">
      <c r="C158" s="45" t="s">
        <v>305</v>
      </c>
      <c r="D158" s="45" t="s">
        <v>314</v>
      </c>
      <c r="E158" s="50">
        <f>+J158*80</f>
        <v>64400</v>
      </c>
      <c r="G158" s="41" t="s">
        <v>305</v>
      </c>
      <c r="H158" s="43">
        <f>H3+H6+H12+H15+H18+H21+H24+H27+H30+H33+H54+H57+H60+H72+H75+H78+H81+H84+H99+H102+H105+H111+H114+K147+H9</f>
        <v>584</v>
      </c>
      <c r="I158" s="42">
        <f t="shared" ref="I158" si="1">I3+I6+I9+I12+I15+I18+I21+I24+I27+I30+I33+I54+I57+I60+I72+I75+I78+I81+I84+I99+I102+I105+I111+I114+L147</f>
        <v>1693</v>
      </c>
      <c r="J158" s="42">
        <f>+SUM(J3:J35)+SUM(J54:J62)+SUM(J75:J86)+SUM(J99:J107)+SUM(J111:J119)+J147</f>
        <v>805</v>
      </c>
      <c r="K158" s="51">
        <f>+J158*80</f>
        <v>64400</v>
      </c>
    </row>
    <row r="159" spans="1:19" ht="15" customHeight="1" x14ac:dyDescent="0.25">
      <c r="C159" s="45" t="s">
        <v>308</v>
      </c>
      <c r="D159" s="45" t="s">
        <v>325</v>
      </c>
      <c r="E159" s="50">
        <f>+J159*21.5</f>
        <v>9395.5</v>
      </c>
      <c r="G159" s="41" t="s">
        <v>308</v>
      </c>
      <c r="H159" s="43">
        <f>H156-H158</f>
        <v>824</v>
      </c>
      <c r="I159" s="43">
        <f t="shared" ref="I159" si="2">I156-I158</f>
        <v>-291</v>
      </c>
      <c r="J159" s="43">
        <f>+J36+J39+J42+J45+J48+J51+J63+J66+J69+J87+J90+J94+J96+J108+J120+J123+J126+J129+J138+J141</f>
        <v>437</v>
      </c>
      <c r="K159" s="51">
        <f>+J159*21.5</f>
        <v>9395.5</v>
      </c>
    </row>
    <row r="160" spans="1:19" ht="15" customHeight="1" x14ac:dyDescent="0.25">
      <c r="C160" s="45" t="s">
        <v>308</v>
      </c>
      <c r="D160" s="45" t="s">
        <v>315</v>
      </c>
      <c r="E160" s="50">
        <f>+J160*2.7</f>
        <v>342.90000000000003</v>
      </c>
      <c r="J160" s="43">
        <f>+J153+J135+J132</f>
        <v>127</v>
      </c>
      <c r="K160" s="51">
        <f>J160*2.7</f>
        <v>342.90000000000003</v>
      </c>
    </row>
    <row r="161" spans="3:11" ht="15" customHeight="1" x14ac:dyDescent="0.25">
      <c r="C161" s="45" t="s">
        <v>316</v>
      </c>
      <c r="D161" s="45" t="s">
        <v>317</v>
      </c>
      <c r="E161" s="50">
        <f>SUM(E158:E160)</f>
        <v>74138.399999999994</v>
      </c>
      <c r="J161" s="43">
        <f>SUM(J158:J160)</f>
        <v>1369</v>
      </c>
      <c r="K161" s="51">
        <f>SUM(K158:K160)</f>
        <v>74138.399999999994</v>
      </c>
    </row>
    <row r="162" spans="3:11" ht="15" customHeight="1" x14ac:dyDescent="0.25">
      <c r="E162" s="50"/>
      <c r="J162" t="s">
        <v>328</v>
      </c>
      <c r="K162" s="51">
        <f>+L156-K161</f>
        <v>0</v>
      </c>
    </row>
    <row r="163" spans="3:11" ht="15" customHeight="1" x14ac:dyDescent="0.25"/>
    <row r="164" spans="3:11" ht="15" customHeight="1" x14ac:dyDescent="0.25"/>
    <row r="165" spans="3:11" ht="15" customHeight="1" x14ac:dyDescent="0.25"/>
    <row r="166" spans="3:11" ht="15" customHeight="1" x14ac:dyDescent="0.25"/>
    <row r="167" spans="3:11" ht="15" customHeight="1" x14ac:dyDescent="0.25"/>
    <row r="168" spans="3:11" ht="15" customHeight="1" x14ac:dyDescent="0.25"/>
    <row r="169" spans="3:11" ht="15" customHeight="1" x14ac:dyDescent="0.25"/>
  </sheetData>
  <mergeCells count="695">
    <mergeCell ref="J87:J89"/>
    <mergeCell ref="J99:J101"/>
    <mergeCell ref="J129:J131"/>
    <mergeCell ref="J135:J137"/>
    <mergeCell ref="J141:J143"/>
    <mergeCell ref="J33:J35"/>
    <mergeCell ref="J105:J107"/>
    <mergeCell ref="H144:H146"/>
    <mergeCell ref="H81:H83"/>
    <mergeCell ref="H84:H86"/>
    <mergeCell ref="H90:H92"/>
    <mergeCell ref="H96:H98"/>
    <mergeCell ref="H102:H104"/>
    <mergeCell ref="H108:H110"/>
    <mergeCell ref="H120:H122"/>
    <mergeCell ref="H54:H56"/>
    <mergeCell ref="H60:H62"/>
    <mergeCell ref="H66:H68"/>
    <mergeCell ref="H63:H65"/>
    <mergeCell ref="H69:H71"/>
    <mergeCell ref="H72:H74"/>
    <mergeCell ref="H75:H77"/>
    <mergeCell ref="H78:H80"/>
    <mergeCell ref="J117:J119"/>
    <mergeCell ref="H6:H8"/>
    <mergeCell ref="H12:H14"/>
    <mergeCell ref="H36:H38"/>
    <mergeCell ref="H42:H44"/>
    <mergeCell ref="H18:H20"/>
    <mergeCell ref="H24:H26"/>
    <mergeCell ref="H30:H32"/>
    <mergeCell ref="H33:H35"/>
    <mergeCell ref="H48:H50"/>
    <mergeCell ref="I33:I35"/>
    <mergeCell ref="I36:I38"/>
    <mergeCell ref="J36:J38"/>
    <mergeCell ref="J18:J20"/>
    <mergeCell ref="J24:J26"/>
    <mergeCell ref="J81:J83"/>
    <mergeCell ref="J42:J44"/>
    <mergeCell ref="J48:J50"/>
    <mergeCell ref="J30:J32"/>
    <mergeCell ref="J75:J77"/>
    <mergeCell ref="J69:J71"/>
    <mergeCell ref="J39:J41"/>
    <mergeCell ref="J111:J113"/>
    <mergeCell ref="J9:J11"/>
    <mergeCell ref="B153:B155"/>
    <mergeCell ref="C153:C155"/>
    <mergeCell ref="D153:D155"/>
    <mergeCell ref="K153:K155"/>
    <mergeCell ref="L153:L155"/>
    <mergeCell ref="M153:M155"/>
    <mergeCell ref="H153:H155"/>
    <mergeCell ref="D54:D56"/>
    <mergeCell ref="D60:D62"/>
    <mergeCell ref="D63:D65"/>
    <mergeCell ref="D24:D26"/>
    <mergeCell ref="D21:D23"/>
    <mergeCell ref="D27:D29"/>
    <mergeCell ref="D72:D74"/>
    <mergeCell ref="D75:D77"/>
    <mergeCell ref="D78:D80"/>
    <mergeCell ref="D81:D83"/>
    <mergeCell ref="D108:D110"/>
    <mergeCell ref="D111:D113"/>
    <mergeCell ref="D84:D86"/>
    <mergeCell ref="D90:D92"/>
    <mergeCell ref="D93:D95"/>
    <mergeCell ref="R153:R155"/>
    <mergeCell ref="N153:N155"/>
    <mergeCell ref="O153:O155"/>
    <mergeCell ref="P153:P155"/>
    <mergeCell ref="Q153:Q155"/>
    <mergeCell ref="J153:J155"/>
    <mergeCell ref="G3:G4"/>
    <mergeCell ref="B138:B140"/>
    <mergeCell ref="D114:D116"/>
    <mergeCell ref="D117:D119"/>
    <mergeCell ref="D96:D98"/>
    <mergeCell ref="D99:D101"/>
    <mergeCell ref="D102:D104"/>
    <mergeCell ref="D105:D107"/>
    <mergeCell ref="C126:C128"/>
    <mergeCell ref="C129:C131"/>
    <mergeCell ref="D126:D128"/>
    <mergeCell ref="D57:D59"/>
    <mergeCell ref="D36:D38"/>
    <mergeCell ref="D39:D41"/>
    <mergeCell ref="D42:D44"/>
    <mergeCell ref="D45:D47"/>
    <mergeCell ref="D48:D50"/>
    <mergeCell ref="D51:D53"/>
    <mergeCell ref="D30:D32"/>
    <mergeCell ref="D15:D17"/>
    <mergeCell ref="D6:D8"/>
    <mergeCell ref="D12:D14"/>
    <mergeCell ref="D18:D20"/>
    <mergeCell ref="D33:D35"/>
    <mergeCell ref="C84:C86"/>
    <mergeCell ref="C87:C89"/>
    <mergeCell ref="C90:C92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15:C17"/>
    <mergeCell ref="C18:C20"/>
    <mergeCell ref="C21:C23"/>
    <mergeCell ref="C24:C26"/>
    <mergeCell ref="D66:D68"/>
    <mergeCell ref="D69:D71"/>
    <mergeCell ref="C3:C5"/>
    <mergeCell ref="C6:C8"/>
    <mergeCell ref="C9:C11"/>
    <mergeCell ref="C12:C14"/>
    <mergeCell ref="C27:C29"/>
    <mergeCell ref="B78:B80"/>
    <mergeCell ref="B81:B83"/>
    <mergeCell ref="B84:B86"/>
    <mergeCell ref="B87:B89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J6:J8"/>
    <mergeCell ref="J12:J14"/>
    <mergeCell ref="B144:B146"/>
    <mergeCell ref="C144:C146"/>
    <mergeCell ref="D144:D146"/>
    <mergeCell ref="B3:B5"/>
    <mergeCell ref="B6:B8"/>
    <mergeCell ref="B9:B11"/>
    <mergeCell ref="B12:B14"/>
    <mergeCell ref="B15:B17"/>
    <mergeCell ref="B18:B20"/>
    <mergeCell ref="B21:B23"/>
    <mergeCell ref="B27:B29"/>
    <mergeCell ref="B24:B26"/>
    <mergeCell ref="B30:B32"/>
    <mergeCell ref="B33:B35"/>
    <mergeCell ref="B36:B38"/>
    <mergeCell ref="B39:B41"/>
    <mergeCell ref="B42:B44"/>
    <mergeCell ref="B45:B47"/>
    <mergeCell ref="B48:B50"/>
    <mergeCell ref="B90:B92"/>
    <mergeCell ref="B93:B95"/>
    <mergeCell ref="B96:B98"/>
    <mergeCell ref="L3:L5"/>
    <mergeCell ref="L6:L8"/>
    <mergeCell ref="L9:L11"/>
    <mergeCell ref="L12:L14"/>
    <mergeCell ref="J138:J140"/>
    <mergeCell ref="J144:J146"/>
    <mergeCell ref="J126:J128"/>
    <mergeCell ref="J132:J134"/>
    <mergeCell ref="J114:J116"/>
    <mergeCell ref="J120:J122"/>
    <mergeCell ref="J102:J104"/>
    <mergeCell ref="J108:J110"/>
    <mergeCell ref="J90:J92"/>
    <mergeCell ref="J96:J98"/>
    <mergeCell ref="J78:J80"/>
    <mergeCell ref="J84:J86"/>
    <mergeCell ref="J63:J65"/>
    <mergeCell ref="J66:J68"/>
    <mergeCell ref="J72:J74"/>
    <mergeCell ref="J54:J56"/>
    <mergeCell ref="J60:J62"/>
    <mergeCell ref="L15:L17"/>
    <mergeCell ref="L18:L20"/>
    <mergeCell ref="L21:L23"/>
    <mergeCell ref="L24:L26"/>
    <mergeCell ref="L81:L83"/>
    <mergeCell ref="L84:L86"/>
    <mergeCell ref="L63:L65"/>
    <mergeCell ref="L66:L68"/>
    <mergeCell ref="L69:L71"/>
    <mergeCell ref="L72:L74"/>
    <mergeCell ref="L51:L53"/>
    <mergeCell ref="L54:L56"/>
    <mergeCell ref="L57:L59"/>
    <mergeCell ref="L60:L62"/>
    <mergeCell ref="L39:L41"/>
    <mergeCell ref="L42:L44"/>
    <mergeCell ref="L45:L47"/>
    <mergeCell ref="L48:L50"/>
    <mergeCell ref="L27:L29"/>
    <mergeCell ref="L30:L32"/>
    <mergeCell ref="L33:L35"/>
    <mergeCell ref="L36:L38"/>
    <mergeCell ref="M3:M5"/>
    <mergeCell ref="M6:M8"/>
    <mergeCell ref="M9:M11"/>
    <mergeCell ref="M12:M14"/>
    <mergeCell ref="L135:L137"/>
    <mergeCell ref="L138:L140"/>
    <mergeCell ref="L111:L113"/>
    <mergeCell ref="L114:L116"/>
    <mergeCell ref="L117:L119"/>
    <mergeCell ref="L120:L122"/>
    <mergeCell ref="L123:L125"/>
    <mergeCell ref="L126:L128"/>
    <mergeCell ref="L129:L131"/>
    <mergeCell ref="L132:L134"/>
    <mergeCell ref="L99:L101"/>
    <mergeCell ref="L102:L104"/>
    <mergeCell ref="L105:L107"/>
    <mergeCell ref="L108:L110"/>
    <mergeCell ref="L87:L89"/>
    <mergeCell ref="L90:L92"/>
    <mergeCell ref="L93:L95"/>
    <mergeCell ref="L96:L98"/>
    <mergeCell ref="L75:L77"/>
    <mergeCell ref="L78:L80"/>
    <mergeCell ref="M39:M41"/>
    <mergeCell ref="M42:M44"/>
    <mergeCell ref="M45:M47"/>
    <mergeCell ref="M48:M50"/>
    <mergeCell ref="M27:M29"/>
    <mergeCell ref="M30:M32"/>
    <mergeCell ref="M33:M35"/>
    <mergeCell ref="M36:M38"/>
    <mergeCell ref="M15:M17"/>
    <mergeCell ref="M18:M20"/>
    <mergeCell ref="M21:M23"/>
    <mergeCell ref="M24:M26"/>
    <mergeCell ref="M81:M83"/>
    <mergeCell ref="M84:M86"/>
    <mergeCell ref="M63:M65"/>
    <mergeCell ref="M66:M68"/>
    <mergeCell ref="M69:M71"/>
    <mergeCell ref="M72:M74"/>
    <mergeCell ref="M51:M53"/>
    <mergeCell ref="M54:M56"/>
    <mergeCell ref="M57:M59"/>
    <mergeCell ref="M60:M62"/>
    <mergeCell ref="N3:N5"/>
    <mergeCell ref="N6:N8"/>
    <mergeCell ref="N9:N11"/>
    <mergeCell ref="N12:N14"/>
    <mergeCell ref="M135:M137"/>
    <mergeCell ref="M138:M140"/>
    <mergeCell ref="M111:M113"/>
    <mergeCell ref="M114:M116"/>
    <mergeCell ref="M117:M119"/>
    <mergeCell ref="M120:M122"/>
    <mergeCell ref="M123:M125"/>
    <mergeCell ref="M126:M128"/>
    <mergeCell ref="M129:M131"/>
    <mergeCell ref="M132:M134"/>
    <mergeCell ref="M99:M101"/>
    <mergeCell ref="M102:M104"/>
    <mergeCell ref="M105:M107"/>
    <mergeCell ref="M108:M110"/>
    <mergeCell ref="M87:M89"/>
    <mergeCell ref="M90:M92"/>
    <mergeCell ref="M93:M95"/>
    <mergeCell ref="M96:M98"/>
    <mergeCell ref="M75:M77"/>
    <mergeCell ref="M78:M80"/>
    <mergeCell ref="N39:N41"/>
    <mergeCell ref="N42:N44"/>
    <mergeCell ref="N45:N47"/>
    <mergeCell ref="N48:N50"/>
    <mergeCell ref="N27:N29"/>
    <mergeCell ref="N30:N32"/>
    <mergeCell ref="N33:N35"/>
    <mergeCell ref="N36:N38"/>
    <mergeCell ref="N15:N17"/>
    <mergeCell ref="N18:N20"/>
    <mergeCell ref="N21:N23"/>
    <mergeCell ref="N24:N26"/>
    <mergeCell ref="N81:N83"/>
    <mergeCell ref="N84:N86"/>
    <mergeCell ref="N63:N65"/>
    <mergeCell ref="N66:N68"/>
    <mergeCell ref="N69:N71"/>
    <mergeCell ref="N72:N74"/>
    <mergeCell ref="N51:N53"/>
    <mergeCell ref="N54:N56"/>
    <mergeCell ref="N57:N59"/>
    <mergeCell ref="N60:N62"/>
    <mergeCell ref="O3:O5"/>
    <mergeCell ref="O6:O8"/>
    <mergeCell ref="O9:O11"/>
    <mergeCell ref="O12:O14"/>
    <mergeCell ref="N135:N137"/>
    <mergeCell ref="N138:N140"/>
    <mergeCell ref="N111:N113"/>
    <mergeCell ref="N114:N116"/>
    <mergeCell ref="N117:N119"/>
    <mergeCell ref="N120:N122"/>
    <mergeCell ref="N123:N125"/>
    <mergeCell ref="N126:N128"/>
    <mergeCell ref="N129:N131"/>
    <mergeCell ref="N132:N134"/>
    <mergeCell ref="N99:N101"/>
    <mergeCell ref="N102:N104"/>
    <mergeCell ref="N105:N107"/>
    <mergeCell ref="N108:N110"/>
    <mergeCell ref="N87:N89"/>
    <mergeCell ref="N90:N92"/>
    <mergeCell ref="N93:N95"/>
    <mergeCell ref="N96:N98"/>
    <mergeCell ref="N75:N77"/>
    <mergeCell ref="N78:N80"/>
    <mergeCell ref="R12:R14"/>
    <mergeCell ref="Q12:Q14"/>
    <mergeCell ref="P12:P14"/>
    <mergeCell ref="P15:P17"/>
    <mergeCell ref="Q15:Q17"/>
    <mergeCell ref="R15:R17"/>
    <mergeCell ref="R3:R5"/>
    <mergeCell ref="R6:R8"/>
    <mergeCell ref="R9:R11"/>
    <mergeCell ref="Q9:Q11"/>
    <mergeCell ref="P3:P5"/>
    <mergeCell ref="Q3:Q5"/>
    <mergeCell ref="P6:P8"/>
    <mergeCell ref="Q6:Q8"/>
    <mergeCell ref="P9:P11"/>
    <mergeCell ref="R24:R26"/>
    <mergeCell ref="R21:R23"/>
    <mergeCell ref="Q21:Q23"/>
    <mergeCell ref="P21:P23"/>
    <mergeCell ref="O21:O23"/>
    <mergeCell ref="O18:O20"/>
    <mergeCell ref="P18:P20"/>
    <mergeCell ref="Q18:Q20"/>
    <mergeCell ref="R18:R20"/>
    <mergeCell ref="R33:R35"/>
    <mergeCell ref="R30:R32"/>
    <mergeCell ref="Q30:Q32"/>
    <mergeCell ref="P30:P32"/>
    <mergeCell ref="O30:O32"/>
    <mergeCell ref="O27:O29"/>
    <mergeCell ref="P27:P29"/>
    <mergeCell ref="Q27:Q29"/>
    <mergeCell ref="R27:R29"/>
    <mergeCell ref="R42:R44"/>
    <mergeCell ref="Q42:Q44"/>
    <mergeCell ref="P42:P44"/>
    <mergeCell ref="O42:O44"/>
    <mergeCell ref="O39:O41"/>
    <mergeCell ref="O36:O38"/>
    <mergeCell ref="Q39:Q41"/>
    <mergeCell ref="R39:R41"/>
    <mergeCell ref="R36:R38"/>
    <mergeCell ref="Q36:Q38"/>
    <mergeCell ref="P36:P38"/>
    <mergeCell ref="P39:P41"/>
    <mergeCell ref="R51:R53"/>
    <mergeCell ref="Q51:Q53"/>
    <mergeCell ref="P51:P53"/>
    <mergeCell ref="O51:O53"/>
    <mergeCell ref="O48:O50"/>
    <mergeCell ref="P48:P50"/>
    <mergeCell ref="Q48:Q50"/>
    <mergeCell ref="R48:R50"/>
    <mergeCell ref="O45:O47"/>
    <mergeCell ref="P45:P47"/>
    <mergeCell ref="Q45:Q47"/>
    <mergeCell ref="R45:R47"/>
    <mergeCell ref="R60:R62"/>
    <mergeCell ref="Q60:Q62"/>
    <mergeCell ref="P60:P62"/>
    <mergeCell ref="O60:O62"/>
    <mergeCell ref="O57:O59"/>
    <mergeCell ref="P57:P59"/>
    <mergeCell ref="Q57:Q59"/>
    <mergeCell ref="R57:R59"/>
    <mergeCell ref="O54:O56"/>
    <mergeCell ref="P54:P56"/>
    <mergeCell ref="Q54:Q56"/>
    <mergeCell ref="R54:R56"/>
    <mergeCell ref="R66:R68"/>
    <mergeCell ref="R69:R71"/>
    <mergeCell ref="Q69:Q71"/>
    <mergeCell ref="O66:O68"/>
    <mergeCell ref="O69:O71"/>
    <mergeCell ref="P69:P71"/>
    <mergeCell ref="P66:P68"/>
    <mergeCell ref="O63:O65"/>
    <mergeCell ref="P63:P65"/>
    <mergeCell ref="Q63:Q65"/>
    <mergeCell ref="R63:R65"/>
    <mergeCell ref="R78:R80"/>
    <mergeCell ref="O75:O77"/>
    <mergeCell ref="P75:P77"/>
    <mergeCell ref="Q75:Q77"/>
    <mergeCell ref="R75:R77"/>
    <mergeCell ref="O72:O74"/>
    <mergeCell ref="P72:P74"/>
    <mergeCell ref="Q72:Q74"/>
    <mergeCell ref="R72:R74"/>
    <mergeCell ref="R81:R83"/>
    <mergeCell ref="R84:R86"/>
    <mergeCell ref="O90:O92"/>
    <mergeCell ref="P90:P92"/>
    <mergeCell ref="Q90:Q92"/>
    <mergeCell ref="R90:R92"/>
    <mergeCell ref="O87:O89"/>
    <mergeCell ref="P87:P89"/>
    <mergeCell ref="Q87:Q89"/>
    <mergeCell ref="R87:R89"/>
    <mergeCell ref="O81:O83"/>
    <mergeCell ref="P81:P83"/>
    <mergeCell ref="Q81:Q83"/>
    <mergeCell ref="Q84:Q86"/>
    <mergeCell ref="P84:P86"/>
    <mergeCell ref="O84:O86"/>
    <mergeCell ref="R99:R101"/>
    <mergeCell ref="O96:O98"/>
    <mergeCell ref="P96:P98"/>
    <mergeCell ref="Q96:Q98"/>
    <mergeCell ref="R96:R98"/>
    <mergeCell ref="O93:O95"/>
    <mergeCell ref="P93:P95"/>
    <mergeCell ref="Q93:Q95"/>
    <mergeCell ref="R93:R95"/>
    <mergeCell ref="R102:R104"/>
    <mergeCell ref="Q105:Q107"/>
    <mergeCell ref="R105:R107"/>
    <mergeCell ref="P108:P110"/>
    <mergeCell ref="Q108:Q110"/>
    <mergeCell ref="R108:R110"/>
    <mergeCell ref="O102:O104"/>
    <mergeCell ref="O105:O107"/>
    <mergeCell ref="O108:O110"/>
    <mergeCell ref="P105:P107"/>
    <mergeCell ref="P102:P104"/>
    <mergeCell ref="R111:R113"/>
    <mergeCell ref="Q111:Q113"/>
    <mergeCell ref="P111:P113"/>
    <mergeCell ref="O117:O119"/>
    <mergeCell ref="P117:P119"/>
    <mergeCell ref="Q117:Q119"/>
    <mergeCell ref="R117:R119"/>
    <mergeCell ref="O114:O116"/>
    <mergeCell ref="P114:P116"/>
    <mergeCell ref="Q114:Q116"/>
    <mergeCell ref="O111:O113"/>
    <mergeCell ref="R114:R116"/>
    <mergeCell ref="Q123:Q125"/>
    <mergeCell ref="R123:R125"/>
    <mergeCell ref="O120:O122"/>
    <mergeCell ref="P120:P122"/>
    <mergeCell ref="Q120:Q122"/>
    <mergeCell ref="R120:R122"/>
    <mergeCell ref="R135:R137"/>
    <mergeCell ref="Q135:Q137"/>
    <mergeCell ref="P135:P137"/>
    <mergeCell ref="O135:O137"/>
    <mergeCell ref="O132:O134"/>
    <mergeCell ref="P132:P134"/>
    <mergeCell ref="Q132:Q134"/>
    <mergeCell ref="R132:R134"/>
    <mergeCell ref="R126:R128"/>
    <mergeCell ref="R129:R131"/>
    <mergeCell ref="Q129:Q131"/>
    <mergeCell ref="P129:P131"/>
    <mergeCell ref="O126:O128"/>
    <mergeCell ref="O129:O131"/>
    <mergeCell ref="P126:P128"/>
    <mergeCell ref="Q126:Q128"/>
    <mergeCell ref="O123:O125"/>
    <mergeCell ref="P123:P125"/>
    <mergeCell ref="Q141:Q143"/>
    <mergeCell ref="Q144:Q146"/>
    <mergeCell ref="R138:R140"/>
    <mergeCell ref="R141:R143"/>
    <mergeCell ref="R144:R146"/>
    <mergeCell ref="O138:O140"/>
    <mergeCell ref="O141:O143"/>
    <mergeCell ref="O144:O146"/>
    <mergeCell ref="P138:P140"/>
    <mergeCell ref="P141:P143"/>
    <mergeCell ref="P144:P146"/>
    <mergeCell ref="K15:K17"/>
    <mergeCell ref="K18:K20"/>
    <mergeCell ref="K21:K23"/>
    <mergeCell ref="K24:K26"/>
    <mergeCell ref="K3:K5"/>
    <mergeCell ref="K6:K8"/>
    <mergeCell ref="K9:K11"/>
    <mergeCell ref="K12:K14"/>
    <mergeCell ref="Q138:Q140"/>
    <mergeCell ref="Q102:Q104"/>
    <mergeCell ref="O99:O101"/>
    <mergeCell ref="P99:P101"/>
    <mergeCell ref="Q99:Q101"/>
    <mergeCell ref="O78:O80"/>
    <mergeCell ref="P78:P80"/>
    <mergeCell ref="Q78:Q80"/>
    <mergeCell ref="Q66:Q68"/>
    <mergeCell ref="O33:O35"/>
    <mergeCell ref="P33:P35"/>
    <mergeCell ref="Q33:Q35"/>
    <mergeCell ref="O24:O26"/>
    <mergeCell ref="P24:P26"/>
    <mergeCell ref="Q24:Q26"/>
    <mergeCell ref="O15:O17"/>
    <mergeCell ref="K60:K62"/>
    <mergeCell ref="K39:K41"/>
    <mergeCell ref="K42:K44"/>
    <mergeCell ref="K45:K47"/>
    <mergeCell ref="K48:K50"/>
    <mergeCell ref="K27:K29"/>
    <mergeCell ref="K30:K32"/>
    <mergeCell ref="K33:K35"/>
    <mergeCell ref="K36:K38"/>
    <mergeCell ref="K51:K53"/>
    <mergeCell ref="K54:K56"/>
    <mergeCell ref="K57:K59"/>
    <mergeCell ref="G58:G59"/>
    <mergeCell ref="G27:G28"/>
    <mergeCell ref="G39:G40"/>
    <mergeCell ref="G43:G44"/>
    <mergeCell ref="G48:G49"/>
    <mergeCell ref="G81:G82"/>
    <mergeCell ref="G84:G85"/>
    <mergeCell ref="G90:G91"/>
    <mergeCell ref="K135:K137"/>
    <mergeCell ref="K111:K113"/>
    <mergeCell ref="K114:K116"/>
    <mergeCell ref="K117:K119"/>
    <mergeCell ref="K120:K122"/>
    <mergeCell ref="K99:K101"/>
    <mergeCell ref="K102:K104"/>
    <mergeCell ref="K123:K125"/>
    <mergeCell ref="K126:K128"/>
    <mergeCell ref="K129:K131"/>
    <mergeCell ref="K132:K134"/>
    <mergeCell ref="K105:K107"/>
    <mergeCell ref="K108:K110"/>
    <mergeCell ref="K87:K89"/>
    <mergeCell ref="K90:K92"/>
    <mergeCell ref="K93:K95"/>
    <mergeCell ref="G93:G94"/>
    <mergeCell ref="G115:G116"/>
    <mergeCell ref="B108:B110"/>
    <mergeCell ref="B105:B107"/>
    <mergeCell ref="B111:B113"/>
    <mergeCell ref="B114:B116"/>
    <mergeCell ref="B117:B119"/>
    <mergeCell ref="B120:B122"/>
    <mergeCell ref="B123:B125"/>
    <mergeCell ref="D120:D122"/>
    <mergeCell ref="D123:D125"/>
    <mergeCell ref="B99:B101"/>
    <mergeCell ref="B102:B104"/>
    <mergeCell ref="C123:C125"/>
    <mergeCell ref="C99:C101"/>
    <mergeCell ref="C102:C104"/>
    <mergeCell ref="C105:C107"/>
    <mergeCell ref="C108:C110"/>
    <mergeCell ref="C111:C113"/>
    <mergeCell ref="C114:C116"/>
    <mergeCell ref="C93:C95"/>
    <mergeCell ref="C96:C98"/>
    <mergeCell ref="C117:C119"/>
    <mergeCell ref="C120:C122"/>
    <mergeCell ref="D147:D149"/>
    <mergeCell ref="D150:D152"/>
    <mergeCell ref="G150:G151"/>
    <mergeCell ref="B147:B149"/>
    <mergeCell ref="B150:B152"/>
    <mergeCell ref="C147:C149"/>
    <mergeCell ref="C150:C152"/>
    <mergeCell ref="B126:B128"/>
    <mergeCell ref="B129:B131"/>
    <mergeCell ref="B132:B134"/>
    <mergeCell ref="D129:D131"/>
    <mergeCell ref="C132:C134"/>
    <mergeCell ref="D132:D134"/>
    <mergeCell ref="B141:B143"/>
    <mergeCell ref="C141:C143"/>
    <mergeCell ref="D141:D143"/>
    <mergeCell ref="C135:C137"/>
    <mergeCell ref="C138:C140"/>
    <mergeCell ref="D135:D137"/>
    <mergeCell ref="D138:D140"/>
    <mergeCell ref="B135:B137"/>
    <mergeCell ref="G102:G103"/>
    <mergeCell ref="G147:G148"/>
    <mergeCell ref="P147:P149"/>
    <mergeCell ref="P150:P152"/>
    <mergeCell ref="J150:J152"/>
    <mergeCell ref="N147:N149"/>
    <mergeCell ref="N150:N152"/>
    <mergeCell ref="H150:H152"/>
    <mergeCell ref="M147:M149"/>
    <mergeCell ref="M150:M152"/>
    <mergeCell ref="K138:K140"/>
    <mergeCell ref="K141:K143"/>
    <mergeCell ref="K144:K146"/>
    <mergeCell ref="N141:N143"/>
    <mergeCell ref="N144:N146"/>
    <mergeCell ref="M141:M143"/>
    <mergeCell ref="M144:M146"/>
    <mergeCell ref="L141:L143"/>
    <mergeCell ref="L144:L146"/>
    <mergeCell ref="H114:H116"/>
    <mergeCell ref="H117:H119"/>
    <mergeCell ref="H126:H128"/>
    <mergeCell ref="H132:H134"/>
    <mergeCell ref="H138:H140"/>
    <mergeCell ref="K96:K98"/>
    <mergeCell ref="K75:K77"/>
    <mergeCell ref="K78:K80"/>
    <mergeCell ref="K81:K83"/>
    <mergeCell ref="K84:K86"/>
    <mergeCell ref="K63:K65"/>
    <mergeCell ref="K66:K68"/>
    <mergeCell ref="K69:K71"/>
    <mergeCell ref="K72:K74"/>
    <mergeCell ref="R147:R149"/>
    <mergeCell ref="R150:R152"/>
    <mergeCell ref="K147:K149"/>
    <mergeCell ref="K150:K152"/>
    <mergeCell ref="L150:L152"/>
    <mergeCell ref="L147:L149"/>
    <mergeCell ref="Q147:Q149"/>
    <mergeCell ref="Q150:Q152"/>
    <mergeCell ref="O147:O149"/>
    <mergeCell ref="O150:O152"/>
    <mergeCell ref="I150:I152"/>
    <mergeCell ref="I153:I155"/>
    <mergeCell ref="H9:H11"/>
    <mergeCell ref="J123:J125"/>
    <mergeCell ref="J147:J149"/>
    <mergeCell ref="I108:I110"/>
    <mergeCell ref="I114:I116"/>
    <mergeCell ref="I117:I119"/>
    <mergeCell ref="I120:I122"/>
    <mergeCell ref="I126:I128"/>
    <mergeCell ref="I129:I131"/>
    <mergeCell ref="I132:I134"/>
    <mergeCell ref="I135:I137"/>
    <mergeCell ref="I138:I140"/>
    <mergeCell ref="I75:I77"/>
    <mergeCell ref="I78:I80"/>
    <mergeCell ref="I81:I83"/>
    <mergeCell ref="I84:I86"/>
    <mergeCell ref="I87:I89"/>
    <mergeCell ref="I90:I92"/>
    <mergeCell ref="I96:I98"/>
    <mergeCell ref="I99:I101"/>
    <mergeCell ref="I102:I104"/>
    <mergeCell ref="I39:I41"/>
    <mergeCell ref="J3:J5"/>
    <mergeCell ref="J15:J17"/>
    <mergeCell ref="J21:J23"/>
    <mergeCell ref="J27:J29"/>
    <mergeCell ref="J45:J47"/>
    <mergeCell ref="J51:J53"/>
    <mergeCell ref="J57:J59"/>
    <mergeCell ref="I141:I143"/>
    <mergeCell ref="I144:I146"/>
    <mergeCell ref="I42:I44"/>
    <mergeCell ref="I48:I50"/>
    <mergeCell ref="I54:I56"/>
    <mergeCell ref="I60:I62"/>
    <mergeCell ref="I63:I65"/>
    <mergeCell ref="I66:I68"/>
    <mergeCell ref="I69:I71"/>
    <mergeCell ref="I72:I74"/>
    <mergeCell ref="I6:I8"/>
    <mergeCell ref="I9:I11"/>
    <mergeCell ref="I12:I14"/>
    <mergeCell ref="I18:I20"/>
    <mergeCell ref="I24:I26"/>
    <mergeCell ref="I27:I29"/>
    <mergeCell ref="I30:I32"/>
  </mergeCells>
  <phoneticPr fontId="5" type="noConversion"/>
  <hyperlinks>
    <hyperlink ref="G66" r:id="rId1" xr:uid="{00000000-0004-0000-0000-000000000000}"/>
    <hyperlink ref="G5" r:id="rId2" xr:uid="{00000000-0004-0000-0000-000001000000}"/>
    <hyperlink ref="G16" r:id="rId3" xr:uid="{00000000-0004-0000-0000-000002000000}"/>
    <hyperlink ref="G13" r:id="rId4" xr:uid="{00000000-0004-0000-0000-000003000000}"/>
    <hyperlink ref="G14" r:id="rId5" xr:uid="{00000000-0004-0000-0000-000004000000}"/>
    <hyperlink ref="G21" r:id="rId6" xr:uid="{00000000-0004-0000-0000-000005000000}"/>
    <hyperlink ref="G23" r:id="rId7" xr:uid="{00000000-0004-0000-0000-000006000000}"/>
    <hyperlink ref="G31" r:id="rId8" xr:uid="{00000000-0004-0000-0000-000007000000}"/>
    <hyperlink ref="G117" r:id="rId9" xr:uid="{00000000-0004-0000-0000-000008000000}"/>
    <hyperlink ref="G77" r:id="rId10" xr:uid="{00000000-0004-0000-0000-00000A000000}"/>
    <hyperlink ref="G80" r:id="rId11" xr:uid="{00000000-0004-0000-0000-00000B000000}"/>
    <hyperlink ref="G86" r:id="rId12" xr:uid="{00000000-0004-0000-0000-00000C000000}"/>
    <hyperlink ref="G55" r:id="rId13" xr:uid="{00000000-0004-0000-0000-00000D000000}"/>
    <hyperlink ref="G58" r:id="rId14" xr:uid="{00000000-0004-0000-0000-00000E000000}"/>
    <hyperlink ref="G62" r:id="rId15" xr:uid="{00000000-0004-0000-0000-00000F000000}"/>
    <hyperlink ref="G104" r:id="rId16" xr:uid="{00000000-0004-0000-0000-000010000000}"/>
    <hyperlink ref="G137" r:id="rId17" xr:uid="{00000000-0004-0000-0000-000011000000}"/>
    <hyperlink ref="G45" r:id="rId18" xr:uid="{00000000-0004-0000-0000-000012000000}"/>
    <hyperlink ref="G141" r:id="rId19" xr:uid="{00000000-0004-0000-0000-000013000000}"/>
    <hyperlink ref="G65" r:id="rId20" xr:uid="{00000000-0004-0000-0000-000014000000}"/>
    <hyperlink ref="G68" r:id="rId21" xr:uid="{00000000-0004-0000-0000-000015000000}"/>
    <hyperlink ref="G71" r:id="rId22" xr:uid="{00000000-0004-0000-0000-000016000000}"/>
    <hyperlink ref="G89" r:id="rId23" xr:uid="{00000000-0004-0000-0000-000017000000}"/>
    <hyperlink ref="G92" r:id="rId24" xr:uid="{00000000-0004-0000-0000-000018000000}"/>
    <hyperlink ref="G95" r:id="rId25" xr:uid="{00000000-0004-0000-0000-000019000000}"/>
    <hyperlink ref="G98" r:id="rId26" xr:uid="{00000000-0004-0000-0000-00001A000000}"/>
    <hyperlink ref="G123" r:id="rId27" xr:uid="{00000000-0004-0000-0000-00001B000000}"/>
    <hyperlink ref="G120" r:id="rId28" xr:uid="{00000000-0004-0000-0000-00001C000000}"/>
    <hyperlink ref="G127" r:id="rId29" xr:uid="{00000000-0004-0000-0000-00001D000000}"/>
    <hyperlink ref="G128" r:id="rId30" xr:uid="{00000000-0004-0000-0000-00001E000000}"/>
    <hyperlink ref="G130" r:id="rId31" xr:uid="{00000000-0004-0000-0000-00001F000000}"/>
    <hyperlink ref="G11" r:id="rId32" xr:uid="{00000000-0004-0000-0000-000020000000}"/>
    <hyperlink ref="G3" r:id="rId33" xr:uid="{00000000-0004-0000-0000-000021000000}"/>
    <hyperlink ref="G34" r:id="rId34" xr:uid="{00000000-0004-0000-0000-000022000000}"/>
    <hyperlink ref="G56" r:id="rId35" xr:uid="{00000000-0004-0000-0000-000023000000}"/>
    <hyperlink ref="G111" r:id="rId36" xr:uid="{00000000-0004-0000-0000-000024000000}"/>
    <hyperlink ref="G132" r:id="rId37" xr:uid="{00000000-0004-0000-0000-000025000000}"/>
    <hyperlink ref="G133" r:id="rId38" xr:uid="{00000000-0004-0000-0000-000026000000}"/>
    <hyperlink ref="G46" r:id="rId39" xr:uid="{00000000-0004-0000-0000-000027000000}"/>
    <hyperlink ref="G15" r:id="rId40" xr:uid="{00000000-0004-0000-0000-000028000000}"/>
    <hyperlink ref="G22" r:id="rId41" xr:uid="{00000000-0004-0000-0000-000029000000}"/>
    <hyperlink ref="G30" r:id="rId42" xr:uid="{00000000-0004-0000-0000-00002A000000}"/>
    <hyperlink ref="G32" r:id="rId43" xr:uid="{00000000-0004-0000-0000-00002B000000}"/>
    <hyperlink ref="G29" r:id="rId44" xr:uid="{00000000-0004-0000-0000-00002C000000}"/>
    <hyperlink ref="G33" r:id="rId45" xr:uid="{00000000-0004-0000-0000-00002D000000}"/>
    <hyperlink ref="G35" r:id="rId46" xr:uid="{00000000-0004-0000-0000-00002E000000}"/>
    <hyperlink ref="G36" r:id="rId47" xr:uid="{00000000-0004-0000-0000-00002F000000}"/>
    <hyperlink ref="G38" r:id="rId48" xr:uid="{00000000-0004-0000-0000-000030000000}"/>
    <hyperlink ref="G41" r:id="rId49" xr:uid="{00000000-0004-0000-0000-000031000000}"/>
    <hyperlink ref="G43" r:id="rId50" xr:uid="{00000000-0004-0000-0000-000032000000}"/>
    <hyperlink ref="G47" r:id="rId51" xr:uid="{00000000-0004-0000-0000-000033000000}"/>
    <hyperlink ref="G48" r:id="rId52" xr:uid="{00000000-0004-0000-0000-000034000000}"/>
    <hyperlink ref="G50" r:id="rId53" xr:uid="{00000000-0004-0000-0000-000035000000}"/>
    <hyperlink ref="G51" r:id="rId54" xr:uid="{00000000-0004-0000-0000-000036000000}"/>
    <hyperlink ref="G53" r:id="rId55" xr:uid="{00000000-0004-0000-0000-000037000000}"/>
    <hyperlink ref="G142" r:id="rId56" xr:uid="{00000000-0004-0000-0000-000038000000}"/>
    <hyperlink ref="G143" r:id="rId57" xr:uid="{00000000-0004-0000-0000-000039000000}"/>
    <hyperlink ref="G54" r:id="rId58" xr:uid="{00000000-0004-0000-0000-00003A000000}"/>
    <hyperlink ref="G57" r:id="rId59" xr:uid="{00000000-0004-0000-0000-00003B000000}"/>
    <hyperlink ref="G60" r:id="rId60" xr:uid="{00000000-0004-0000-0000-00003C000000}"/>
    <hyperlink ref="G61" r:id="rId61" xr:uid="{00000000-0004-0000-0000-00003D000000}"/>
    <hyperlink ref="G64" r:id="rId62" xr:uid="{00000000-0004-0000-0000-00003E000000}"/>
    <hyperlink ref="G67" r:id="rId63" xr:uid="{00000000-0004-0000-0000-00003F000000}"/>
    <hyperlink ref="G75" r:id="rId64" xr:uid="{00000000-0004-0000-0000-000040000000}"/>
    <hyperlink ref="G79" r:id="rId65" xr:uid="{00000000-0004-0000-0000-000041000000}"/>
    <hyperlink ref="G93" r:id="rId66" xr:uid="{00000000-0004-0000-0000-000042000000}"/>
    <hyperlink ref="G101" r:id="rId67" xr:uid="{00000000-0004-0000-0000-000043000000}"/>
    <hyperlink ref="G105" r:id="rId68" xr:uid="{00000000-0004-0000-0000-000044000000}"/>
    <hyperlink ref="G106" r:id="rId69" xr:uid="{00000000-0004-0000-0000-000045000000}"/>
    <hyperlink ref="G107" r:id="rId70" xr:uid="{00000000-0004-0000-0000-000046000000}"/>
    <hyperlink ref="G112" r:id="rId71" xr:uid="{00000000-0004-0000-0000-000047000000}"/>
    <hyperlink ref="G118" r:id="rId72" xr:uid="{00000000-0004-0000-0000-00004A000000}"/>
    <hyperlink ref="G119" r:id="rId73" xr:uid="{00000000-0004-0000-0000-00004B000000}"/>
    <hyperlink ref="G126" r:id="rId74" xr:uid="{00000000-0004-0000-0000-00004C000000}"/>
    <hyperlink ref="G138" r:id="rId75" xr:uid="{00000000-0004-0000-0000-00004D000000}"/>
    <hyperlink ref="G149" r:id="rId76" xr:uid="{00000000-0004-0000-0000-00004E000000}"/>
    <hyperlink ref="G152" r:id="rId77" xr:uid="{00000000-0004-0000-0000-00004F000000}"/>
    <hyperlink ref="G150" r:id="rId78" xr:uid="{00000000-0004-0000-0000-000050000000}"/>
    <hyperlink ref="G25" r:id="rId79" xr:uid="{00000000-0004-0000-0000-000051000000}"/>
    <hyperlink ref="G19" r:id="rId80" xr:uid="{00000000-0004-0000-0000-000052000000}"/>
    <hyperlink ref="G8" r:id="rId81" xr:uid="{00000000-0004-0000-0000-000054000000}"/>
    <hyperlink ref="G24" r:id="rId82" xr:uid="{00000000-0004-0000-0000-000055000000}"/>
    <hyperlink ref="G18" r:id="rId83" xr:uid="{00000000-0004-0000-0000-000056000000}"/>
    <hyperlink ref="G20" r:id="rId84" xr:uid="{00000000-0004-0000-0000-000057000000}"/>
    <hyperlink ref="G9" r:id="rId85" xr:uid="{00000000-0004-0000-0000-000058000000}"/>
    <hyperlink ref="G10" r:id="rId86" xr:uid="{00000000-0004-0000-0000-000059000000}"/>
    <hyperlink ref="G76" r:id="rId87" xr:uid="{00000000-0004-0000-0000-00005A000000}"/>
    <hyperlink ref="G78" r:id="rId88" xr:uid="{00000000-0004-0000-0000-00005B000000}"/>
    <hyperlink ref="G81" r:id="rId89" xr:uid="{00000000-0004-0000-0000-00005C000000}"/>
    <hyperlink ref="G99" r:id="rId90" xr:uid="{00000000-0004-0000-0000-00005D000000}"/>
    <hyperlink ref="G100" r:id="rId91" xr:uid="{00000000-0004-0000-0000-00005E000000}"/>
    <hyperlink ref="G153" r:id="rId92" xr:uid="{00000000-0004-0000-0000-00005F000000}"/>
    <hyperlink ref="G154" r:id="rId93" xr:uid="{00000000-0004-0000-0000-000060000000}"/>
    <hyperlink ref="G155" r:id="rId94" xr:uid="{00000000-0004-0000-0000-000061000000}"/>
    <hyperlink ref="G113" r:id="rId95" xr:uid="{00000000-0004-0000-0000-000062000000}"/>
    <hyperlink ref="G134" r:id="rId96" xr:uid="{00000000-0004-0000-0000-000063000000}"/>
    <hyperlink ref="G52" r:id="rId97" xr:uid="{00000000-0004-0000-0000-000064000000}"/>
    <hyperlink ref="G87" r:id="rId98" xr:uid="{00000000-0004-0000-0000-000065000000}"/>
    <hyperlink ref="G88" r:id="rId99" xr:uid="{00000000-0004-0000-0000-000066000000}"/>
    <hyperlink ref="G97" r:id="rId100" xr:uid="{00000000-0004-0000-0000-000067000000}"/>
    <hyperlink ref="G139" r:id="rId101" xr:uid="{00000000-0004-0000-0000-000068000000}"/>
    <hyperlink ref="G140" r:id="rId102" xr:uid="{00000000-0004-0000-0000-000069000000}"/>
    <hyperlink ref="G70" r:id="rId103" xr:uid="{00000000-0004-0000-0000-00006A000000}"/>
    <hyperlink ref="G90" r:id="rId104" xr:uid="{00000000-0004-0000-0000-00006C000000}"/>
    <hyperlink ref="G96" r:id="rId105" xr:uid="{00000000-0004-0000-0000-00006D000000}"/>
    <hyperlink ref="G102" r:id="rId106" xr:uid="{00000000-0004-0000-0000-00006E000000}"/>
    <hyperlink ref="G135" r:id="rId107" xr:uid="{00000000-0004-0000-0000-00006F000000}"/>
    <hyperlink ref="G136" r:id="rId108" xr:uid="{00000000-0004-0000-0000-000070000000}"/>
    <hyperlink ref="G147" r:id="rId109" xr:uid="{00000000-0004-0000-0000-000071000000}"/>
    <hyperlink ref="G83" r:id="rId110" xr:uid="{00000000-0004-0000-0000-000072000000}"/>
    <hyperlink ref="G125" r:id="rId111" xr:uid="{00000000-0004-0000-0000-000073000000}"/>
    <hyperlink ref="G17" r:id="rId112" xr:uid="{00000000-0004-0000-0000-000074000000}"/>
  </hyperlinks>
  <pageMargins left="0.78740157480314965" right="0.78740157480314965" top="0.98425196850393704" bottom="0.98425196850393704" header="0.51181102362204722" footer="0.51181102362204722"/>
  <pageSetup paperSize="9" scale="28" orientation="portrait" r:id="rId113"/>
  <headerFooter alignWithMargins="0">
    <oddFooter>&amp;C_x000D_&amp;1#&amp;"Aptos"&amp;10&amp;KFF0000 C2 - Restreint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16</vt:i4>
      </vt:variant>
    </vt:vector>
  </HeadingPairs>
  <TitlesOfParts>
    <vt:vector size="24" baseType="lpstr">
      <vt:lpstr>Synthèse 2026</vt:lpstr>
      <vt:lpstr>Synthèse 2025</vt:lpstr>
      <vt:lpstr>2025 par loges</vt:lpstr>
      <vt:lpstr>Synthèse 2024</vt:lpstr>
      <vt:lpstr>2024 par loges</vt:lpstr>
      <vt:lpstr>Synthèse 2023</vt:lpstr>
      <vt:lpstr>2023</vt:lpstr>
      <vt:lpstr>Complet</vt:lpstr>
      <vt:lpstr>'2023'!Impression_des_titres</vt:lpstr>
      <vt:lpstr>'2024 par loges'!Impression_des_titres</vt:lpstr>
      <vt:lpstr>'2025 par loges'!Impression_des_titres</vt:lpstr>
      <vt:lpstr>Complet!Impression_des_titres</vt:lpstr>
      <vt:lpstr>'Synthèse 2023'!Impression_des_titres</vt:lpstr>
      <vt:lpstr>'Synthèse 2024'!Impression_des_titres</vt:lpstr>
      <vt:lpstr>'Synthèse 2025'!Impression_des_titres</vt:lpstr>
      <vt:lpstr>'Synthèse 2026'!Impression_des_titres</vt:lpstr>
      <vt:lpstr>'2023'!Zone_d_impression</vt:lpstr>
      <vt:lpstr>'2024 par loges'!Zone_d_impression</vt:lpstr>
      <vt:lpstr>'2025 par loges'!Zone_d_impression</vt:lpstr>
      <vt:lpstr>Complet!Zone_d_impression</vt:lpstr>
      <vt:lpstr>'Synthèse 2023'!Zone_d_impression</vt:lpstr>
      <vt:lpstr>'Synthèse 2024'!Zone_d_impression</vt:lpstr>
      <vt:lpstr>'Synthèse 2025'!Zone_d_impression</vt:lpstr>
      <vt:lpstr>'Synthèse 2026'!Zone_d_impression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marcgg</dc:creator>
  <cp:lastModifiedBy>AUER Francois-Regis</cp:lastModifiedBy>
  <cp:lastPrinted>2026-03-10T17:02:06Z</cp:lastPrinted>
  <dcterms:created xsi:type="dcterms:W3CDTF">2015-03-08T08:49:43Z</dcterms:created>
  <dcterms:modified xsi:type="dcterms:W3CDTF">2026-10-07T07:01:01Z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519655-bb19-45a9-893e-bbf58a36881c_Enabled">
    <vt:lpwstr>true</vt:lpwstr>
  </property>
  <property fmtid="{D5CDD505-2E9C-101B-9397-08002B2CF9AE}" pid="3" name="MSIP_Label_a3519655-bb19-45a9-893e-bbf58a36881c_SetDate">
    <vt:lpwstr>2026-10-07T07:00:56Z</vt:lpwstr>
  </property>
  <property fmtid="{D5CDD505-2E9C-101B-9397-08002B2CF9AE}" pid="4" name="MSIP_Label_a3519655-bb19-45a9-893e-bbf58a36881c_Method">
    <vt:lpwstr>Standard</vt:lpwstr>
  </property>
  <property fmtid="{D5CDD505-2E9C-101B-9397-08002B2CF9AE}" pid="5" name="MSIP_Label_a3519655-bb19-45a9-893e-bbf58a36881c_Name">
    <vt:lpwstr>FR - C2-Restreint</vt:lpwstr>
  </property>
  <property fmtid="{D5CDD505-2E9C-101B-9397-08002B2CF9AE}" pid="6" name="MSIP_Label_a3519655-bb19-45a9-893e-bbf58a36881c_SiteId">
    <vt:lpwstr>cae7d061-08f3-40dd-80c3-3c0b8889224a</vt:lpwstr>
  </property>
  <property fmtid="{D5CDD505-2E9C-101B-9397-08002B2CF9AE}" pid="7" name="MSIP_Label_a3519655-bb19-45a9-893e-bbf58a36881c_ActionId">
    <vt:lpwstr>15dc8287-f1de-49ca-8ca1-53b648140e86</vt:lpwstr>
  </property>
  <property fmtid="{D5CDD505-2E9C-101B-9397-08002B2CF9AE}" pid="8" name="MSIP_Label_a3519655-bb19-45a9-893e-bbf58a36881c_ContentBits">
    <vt:lpwstr>2</vt:lpwstr>
  </property>
  <property fmtid="{D5CDD505-2E9C-101B-9397-08002B2CF9AE}" pid="9" name="MSIP_Label_a3519655-bb19-45a9-893e-bbf58a36881c_Tag">
    <vt:lpwstr>10, 3, 0, 1</vt:lpwstr>
  </property>
</Properties>
</file>